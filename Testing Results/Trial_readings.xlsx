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bil\Downloads\"/>
    </mc:Choice>
  </mc:AlternateContent>
  <xr:revisionPtr revIDLastSave="0" documentId="8_{282843C5-CF07-40D3-AB57-900AD0FF0F4F}" xr6:coauthVersionLast="47" xr6:coauthVersionMax="47" xr10:uidLastSave="{00000000-0000-0000-0000-000000000000}"/>
  <bookViews>
    <workbookView xWindow="-108" yWindow="-108" windowWidth="23256" windowHeight="12456" activeTab="3" xr2:uid="{155BA715-9F03-4A40-B4C7-89EBB34BC3FF}"/>
  </bookViews>
  <sheets>
    <sheet name="MPC+DT" sheetId="1" r:id="rId1"/>
    <sheet name="FPTP+DT" sheetId="2" r:id="rId2"/>
    <sheet name="FPTP-DT" sheetId="3" r:id="rId3"/>
    <sheet name="MPC-D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" l="1" a="1"/>
  <c r="K3" i="3" s="1"/>
  <c r="K3" i="2" a="1"/>
  <c r="K3" i="2" s="1"/>
  <c r="K3" i="1" a="1"/>
  <c r="K3" i="1" s="1"/>
  <c r="F3" i="4"/>
  <c r="C32" i="4"/>
  <c r="G32" i="4" s="1"/>
  <c r="C31" i="4"/>
  <c r="G31" i="4" s="1"/>
  <c r="C30" i="4"/>
  <c r="G30" i="4" s="1"/>
  <c r="C29" i="4"/>
  <c r="G29" i="4" s="1"/>
  <c r="C28" i="4"/>
  <c r="G28" i="4" s="1"/>
  <c r="C27" i="4"/>
  <c r="G27" i="4" s="1"/>
  <c r="C26" i="4"/>
  <c r="G26" i="4" s="1"/>
  <c r="C25" i="4"/>
  <c r="G25" i="4" s="1"/>
  <c r="C24" i="4"/>
  <c r="G24" i="4" s="1"/>
  <c r="C23" i="4"/>
  <c r="G23" i="4" s="1"/>
  <c r="C22" i="4"/>
  <c r="G22" i="4" s="1"/>
  <c r="C21" i="4"/>
  <c r="G21" i="4" s="1"/>
  <c r="C20" i="4"/>
  <c r="G20" i="4" s="1"/>
  <c r="C19" i="4"/>
  <c r="G19" i="4" s="1"/>
  <c r="C18" i="4"/>
  <c r="G18" i="4" s="1"/>
  <c r="C17" i="4"/>
  <c r="G17" i="4" s="1"/>
  <c r="C16" i="4"/>
  <c r="G16" i="4" s="1"/>
  <c r="C15" i="4"/>
  <c r="G15" i="4" s="1"/>
  <c r="C14" i="4"/>
  <c r="G14" i="4" s="1"/>
  <c r="C13" i="4"/>
  <c r="G13" i="4" s="1"/>
  <c r="C12" i="4"/>
  <c r="G12" i="4" s="1"/>
  <c r="C11" i="4"/>
  <c r="G11" i="4" s="1"/>
  <c r="C10" i="4"/>
  <c r="G10" i="4" s="1"/>
  <c r="C9" i="4"/>
  <c r="G9" i="4" s="1"/>
  <c r="C8" i="4"/>
  <c r="G8" i="4" s="1"/>
  <c r="C7" i="4"/>
  <c r="G7" i="4" s="1"/>
  <c r="C6" i="4"/>
  <c r="G6" i="4" s="1"/>
  <c r="C5" i="4"/>
  <c r="G5" i="4" s="1"/>
  <c r="C4" i="4"/>
  <c r="G4" i="4" s="1"/>
  <c r="C3" i="4"/>
  <c r="J3" i="3"/>
  <c r="I3" i="3"/>
  <c r="C32" i="3"/>
  <c r="G32" i="3" s="1"/>
  <c r="C31" i="3"/>
  <c r="G31" i="3" s="1"/>
  <c r="C30" i="3"/>
  <c r="G30" i="3" s="1"/>
  <c r="C29" i="3"/>
  <c r="G29" i="3" s="1"/>
  <c r="C28" i="3"/>
  <c r="G28" i="3" s="1"/>
  <c r="C27" i="3"/>
  <c r="G27" i="3" s="1"/>
  <c r="C26" i="3"/>
  <c r="G26" i="3" s="1"/>
  <c r="C25" i="3"/>
  <c r="G25" i="3" s="1"/>
  <c r="C24" i="3"/>
  <c r="G24" i="3" s="1"/>
  <c r="C23" i="3"/>
  <c r="G23" i="3" s="1"/>
  <c r="C22" i="3"/>
  <c r="G22" i="3" s="1"/>
  <c r="C21" i="3"/>
  <c r="G21" i="3" s="1"/>
  <c r="C20" i="3"/>
  <c r="G20" i="3" s="1"/>
  <c r="C19" i="3"/>
  <c r="G19" i="3" s="1"/>
  <c r="C18" i="3"/>
  <c r="G18" i="3" s="1"/>
  <c r="C17" i="3"/>
  <c r="G17" i="3" s="1"/>
  <c r="C16" i="3"/>
  <c r="G16" i="3" s="1"/>
  <c r="C15" i="3"/>
  <c r="G15" i="3" s="1"/>
  <c r="C14" i="3"/>
  <c r="G14" i="3" s="1"/>
  <c r="C13" i="3"/>
  <c r="G13" i="3" s="1"/>
  <c r="C12" i="3"/>
  <c r="G12" i="3" s="1"/>
  <c r="C11" i="3"/>
  <c r="G11" i="3" s="1"/>
  <c r="C10" i="3"/>
  <c r="G10" i="3" s="1"/>
  <c r="C9" i="3"/>
  <c r="G9" i="3" s="1"/>
  <c r="C8" i="3"/>
  <c r="G8" i="3" s="1"/>
  <c r="C7" i="3"/>
  <c r="G7" i="3" s="1"/>
  <c r="C6" i="3"/>
  <c r="G6" i="3" s="1"/>
  <c r="C5" i="3"/>
  <c r="G5" i="3" s="1"/>
  <c r="C4" i="3"/>
  <c r="G4" i="3" s="1"/>
  <c r="F3" i="3"/>
  <c r="C3" i="3"/>
  <c r="D3" i="3" s="1" a="1"/>
  <c r="D3" i="3" s="1"/>
  <c r="H3" i="2" a="1"/>
  <c r="H3" i="2" s="1"/>
  <c r="D3" i="2" a="1"/>
  <c r="D3" i="2" s="1"/>
  <c r="C32" i="2"/>
  <c r="G32" i="2" s="1"/>
  <c r="E3" i="2"/>
  <c r="G32" i="1"/>
  <c r="F3" i="1"/>
  <c r="C32" i="1"/>
  <c r="C31" i="2"/>
  <c r="G31" i="2" s="1"/>
  <c r="C30" i="2"/>
  <c r="G30" i="2" s="1"/>
  <c r="C29" i="2"/>
  <c r="G29" i="2" s="1"/>
  <c r="C28" i="2"/>
  <c r="G28" i="2" s="1"/>
  <c r="C27" i="2"/>
  <c r="G27" i="2" s="1"/>
  <c r="C26" i="2"/>
  <c r="G26" i="2" s="1"/>
  <c r="I3" i="2" s="1"/>
  <c r="C25" i="2"/>
  <c r="G25" i="2" s="1"/>
  <c r="C24" i="2"/>
  <c r="G24" i="2" s="1"/>
  <c r="C23" i="2"/>
  <c r="G23" i="2" s="1"/>
  <c r="C22" i="2"/>
  <c r="G22" i="2" s="1"/>
  <c r="C21" i="2"/>
  <c r="G21" i="2" s="1"/>
  <c r="C20" i="2"/>
  <c r="G20" i="2" s="1"/>
  <c r="C19" i="2"/>
  <c r="G19" i="2" s="1"/>
  <c r="C18" i="2"/>
  <c r="G18" i="2" s="1"/>
  <c r="C17" i="2"/>
  <c r="C16" i="2"/>
  <c r="G16" i="2" s="1"/>
  <c r="C15" i="2"/>
  <c r="G15" i="2" s="1"/>
  <c r="C14" i="2"/>
  <c r="G14" i="2" s="1"/>
  <c r="C13" i="2"/>
  <c r="G13" i="2" s="1"/>
  <c r="C12" i="2"/>
  <c r="G12" i="2" s="1"/>
  <c r="C11" i="2"/>
  <c r="G11" i="2" s="1"/>
  <c r="C10" i="2"/>
  <c r="G10" i="2" s="1"/>
  <c r="C9" i="2"/>
  <c r="G9" i="2" s="1"/>
  <c r="C8" i="2"/>
  <c r="G8" i="2" s="1"/>
  <c r="C7" i="2"/>
  <c r="G7" i="2" s="1"/>
  <c r="C6" i="2"/>
  <c r="G6" i="2" s="1"/>
  <c r="C5" i="2"/>
  <c r="G5" i="2" s="1"/>
  <c r="C4" i="2"/>
  <c r="G4" i="2" s="1"/>
  <c r="F3" i="2"/>
  <c r="C3" i="2"/>
  <c r="C5" i="1"/>
  <c r="C6" i="1"/>
  <c r="G6" i="1" s="1"/>
  <c r="C7" i="1"/>
  <c r="G7" i="1" s="1"/>
  <c r="C8" i="1"/>
  <c r="G8" i="1" s="1"/>
  <c r="C9" i="1"/>
  <c r="G9" i="1" s="1"/>
  <c r="C10" i="1"/>
  <c r="G10" i="1" s="1"/>
  <c r="C11" i="1"/>
  <c r="G11" i="1" s="1"/>
  <c r="C12" i="1"/>
  <c r="G12" i="1" s="1"/>
  <c r="C13" i="1"/>
  <c r="G13" i="1" s="1"/>
  <c r="C14" i="1"/>
  <c r="G14" i="1" s="1"/>
  <c r="C15" i="1"/>
  <c r="G15" i="1" s="1"/>
  <c r="C16" i="1"/>
  <c r="G16" i="1" s="1"/>
  <c r="C17" i="1"/>
  <c r="G17" i="1" s="1"/>
  <c r="C18" i="1"/>
  <c r="G18" i="1" s="1"/>
  <c r="C19" i="1"/>
  <c r="G19" i="1" s="1"/>
  <c r="C20" i="1"/>
  <c r="G20" i="1" s="1"/>
  <c r="C21" i="1"/>
  <c r="G21" i="1" s="1"/>
  <c r="C22" i="1"/>
  <c r="G22" i="1" s="1"/>
  <c r="C23" i="1"/>
  <c r="G23" i="1" s="1"/>
  <c r="C24" i="1"/>
  <c r="G24" i="1" s="1"/>
  <c r="C25" i="1"/>
  <c r="G25" i="1" s="1"/>
  <c r="C26" i="1"/>
  <c r="G26" i="1" s="1"/>
  <c r="C27" i="1"/>
  <c r="G27" i="1" s="1"/>
  <c r="C28" i="1"/>
  <c r="G28" i="1" s="1"/>
  <c r="C29" i="1"/>
  <c r="G29" i="1" s="1"/>
  <c r="C30" i="1"/>
  <c r="G30" i="1" s="1"/>
  <c r="C31" i="1"/>
  <c r="G31" i="1" s="1"/>
  <c r="C4" i="1"/>
  <c r="C3" i="1"/>
  <c r="K3" i="4" l="1" a="1"/>
  <c r="K3" i="4" s="1"/>
  <c r="E3" i="4"/>
  <c r="D3" i="4" a="1"/>
  <c r="D3" i="4" s="1"/>
  <c r="G3" i="4"/>
  <c r="G3" i="3"/>
  <c r="E3" i="3"/>
  <c r="G17" i="2"/>
  <c r="G5" i="1"/>
  <c r="E3" i="1"/>
  <c r="D3" i="1" a="1"/>
  <c r="D3" i="1" s="1"/>
  <c r="G3" i="1"/>
  <c r="G4" i="1"/>
  <c r="G3" i="2"/>
  <c r="J3" i="2" s="1"/>
  <c r="H3" i="4" l="1" a="1"/>
  <c r="H3" i="4" s="1"/>
  <c r="I3" i="4"/>
  <c r="J3" i="4"/>
  <c r="H3" i="3" a="1"/>
  <c r="H3" i="3" s="1"/>
  <c r="J3" i="1"/>
  <c r="I3" i="1"/>
  <c r="H3" i="1" a="1"/>
  <c r="H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<sst xmlns="http://schemas.openxmlformats.org/spreadsheetml/2006/main" count="48" uniqueCount="15">
  <si>
    <t>MPC+DT</t>
  </si>
  <si>
    <t>Des</t>
  </si>
  <si>
    <t>Actual</t>
  </si>
  <si>
    <t>Error</t>
  </si>
  <si>
    <t>MAE</t>
  </si>
  <si>
    <t>Standard Deviation</t>
  </si>
  <si>
    <t>Average Reading</t>
  </si>
  <si>
    <t>Error%</t>
  </si>
  <si>
    <t>MAE%</t>
  </si>
  <si>
    <t>Standard Deviation %</t>
  </si>
  <si>
    <t>Average Error %</t>
  </si>
  <si>
    <t>FPTP+DT</t>
  </si>
  <si>
    <t>MSE %</t>
  </si>
  <si>
    <t>FPTP-DT</t>
  </si>
  <si>
    <t>MPC-DT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</si>
</sst>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5F92C-2DD4-4650-8EC5-E4A80C596EF6}">
  <dimension ref="A1:K32"/>
  <sheetViews>
    <sheetView workbookViewId="0">
      <selection activeCell="K3" sqref="K3:K32"/>
    </sheetView>
  </sheetViews>
  <sheetFormatPr defaultRowHeight="14.4" x14ac:dyDescent="0.3"/>
  <cols>
    <col min="5" max="5" width="16.109375" bestFit="1" customWidth="1"/>
    <col min="6" max="6" width="14.33203125" bestFit="1" customWidth="1"/>
    <col min="9" max="9" width="18.109375" bestFit="1" customWidth="1"/>
    <col min="10" max="10" width="13.77734375" bestFit="1" customWidth="1"/>
    <col min="16" max="16" width="11" bestFit="1" customWidth="1"/>
  </cols>
  <sheetData>
    <row r="1" spans="1:11" x14ac:dyDescent="0.3">
      <c r="A1" t="s">
        <v>0</v>
      </c>
    </row>
    <row r="2" spans="1:11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12</v>
      </c>
    </row>
    <row r="3" spans="1:11" x14ac:dyDescent="0.3">
      <c r="A3" s="1">
        <v>5</v>
      </c>
      <c r="B3">
        <v>4.99</v>
      </c>
      <c r="C3">
        <f>B3-A$3</f>
        <v>-9.9999999999997868E-3</v>
      </c>
      <c r="D3" s="1" cm="1">
        <f t="array" ref="D3">AVERAGE(ABS(C3:C32))</f>
        <v>1.7666666666666529E-2</v>
      </c>
      <c r="E3" s="1">
        <f>_xlfn.STDEV.S(C3:C32)</f>
        <v>2.008316044185603E-2</v>
      </c>
      <c r="F3" s="1">
        <f>AVERAGE(B3:B32)</f>
        <v>4.9896666666666656</v>
      </c>
      <c r="G3">
        <f>(C3/5)*100</f>
        <v>-0.19999999999999576</v>
      </c>
      <c r="H3" s="1" cm="1">
        <f t="array" ref="H3">AVERAGE(ABS(G3:G32))</f>
        <v>0.35333333333333056</v>
      </c>
      <c r="I3" s="1">
        <f>_xlfn.STDEV.S(G3:G32)</f>
        <v>0.40166320883712042</v>
      </c>
      <c r="J3" s="1">
        <f>AVERAGE(G3:G32)</f>
        <v>-0.20666666666666464</v>
      </c>
      <c r="K3" s="1" cm="1">
        <f t="array" ref="K3">SUM(G3:G32^2)/COUNT(G3:G32)</f>
        <v>0.19866666666666477</v>
      </c>
    </row>
    <row r="4" spans="1:11" x14ac:dyDescent="0.3">
      <c r="A4" s="1"/>
      <c r="B4">
        <v>5</v>
      </c>
      <c r="C4">
        <f>B4-A$3</f>
        <v>0</v>
      </c>
      <c r="D4" s="1"/>
      <c r="E4" s="1"/>
      <c r="F4" s="1"/>
      <c r="G4">
        <f t="shared" ref="G4:G32" si="0">(C4/5)*100</f>
        <v>0</v>
      </c>
      <c r="H4" s="1"/>
      <c r="I4" s="1"/>
      <c r="J4" s="1"/>
      <c r="K4" s="1"/>
    </row>
    <row r="5" spans="1:11" x14ac:dyDescent="0.3">
      <c r="A5" s="1"/>
      <c r="B5">
        <v>4.9800000000000004</v>
      </c>
      <c r="C5">
        <f t="shared" ref="C5:C32" si="1">B5-A$3</f>
        <v>-1.9999999999999574E-2</v>
      </c>
      <c r="D5" s="1"/>
      <c r="E5" s="1"/>
      <c r="F5" s="1"/>
      <c r="G5">
        <f t="shared" si="0"/>
        <v>-0.39999999999999153</v>
      </c>
      <c r="H5" s="1"/>
      <c r="I5" s="1"/>
      <c r="J5" s="1"/>
      <c r="K5" s="1"/>
    </row>
    <row r="6" spans="1:11" x14ac:dyDescent="0.3">
      <c r="A6" s="1"/>
      <c r="B6">
        <v>5</v>
      </c>
      <c r="C6">
        <f t="shared" si="1"/>
        <v>0</v>
      </c>
      <c r="D6" s="1"/>
      <c r="E6" s="1"/>
      <c r="F6" s="1"/>
      <c r="G6">
        <f t="shared" si="0"/>
        <v>0</v>
      </c>
      <c r="H6" s="1"/>
      <c r="I6" s="1"/>
      <c r="J6" s="1"/>
      <c r="K6" s="1"/>
    </row>
    <row r="7" spans="1:11" x14ac:dyDescent="0.3">
      <c r="A7" s="1"/>
      <c r="B7">
        <v>5.01</v>
      </c>
      <c r="C7">
        <f t="shared" si="1"/>
        <v>9.9999999999997868E-3</v>
      </c>
      <c r="D7" s="1"/>
      <c r="E7" s="1"/>
      <c r="F7" s="1"/>
      <c r="G7">
        <f t="shared" si="0"/>
        <v>0.19999999999999576</v>
      </c>
      <c r="H7" s="1"/>
      <c r="I7" s="1"/>
      <c r="J7" s="1"/>
      <c r="K7" s="1"/>
    </row>
    <row r="8" spans="1:11" x14ac:dyDescent="0.3">
      <c r="A8" s="1"/>
      <c r="B8">
        <v>4.97</v>
      </c>
      <c r="C8">
        <f t="shared" si="1"/>
        <v>-3.0000000000000249E-2</v>
      </c>
      <c r="D8" s="1"/>
      <c r="E8" s="1"/>
      <c r="F8" s="1"/>
      <c r="G8">
        <f t="shared" si="0"/>
        <v>-0.60000000000000497</v>
      </c>
      <c r="H8" s="1"/>
      <c r="I8" s="1"/>
      <c r="J8" s="1"/>
      <c r="K8" s="1"/>
    </row>
    <row r="9" spans="1:11" x14ac:dyDescent="0.3">
      <c r="A9" s="1"/>
      <c r="B9">
        <v>4.97</v>
      </c>
      <c r="C9">
        <f t="shared" si="1"/>
        <v>-3.0000000000000249E-2</v>
      </c>
      <c r="D9" s="1"/>
      <c r="E9" s="1"/>
      <c r="F9" s="1"/>
      <c r="G9">
        <f t="shared" si="0"/>
        <v>-0.60000000000000497</v>
      </c>
      <c r="H9" s="1"/>
      <c r="I9" s="1"/>
      <c r="J9" s="1"/>
      <c r="K9" s="1"/>
    </row>
    <row r="10" spans="1:11" x14ac:dyDescent="0.3">
      <c r="A10" s="1"/>
      <c r="B10">
        <v>4.9400000000000004</v>
      </c>
      <c r="C10">
        <f t="shared" si="1"/>
        <v>-5.9999999999999609E-2</v>
      </c>
      <c r="D10" s="1"/>
      <c r="E10" s="1"/>
      <c r="F10" s="1"/>
      <c r="G10">
        <f t="shared" si="0"/>
        <v>-1.1999999999999922</v>
      </c>
      <c r="H10" s="1"/>
      <c r="I10" s="1"/>
      <c r="J10" s="1"/>
      <c r="K10" s="1"/>
    </row>
    <row r="11" spans="1:11" x14ac:dyDescent="0.3">
      <c r="A11" s="1"/>
      <c r="B11">
        <v>4.9800000000000004</v>
      </c>
      <c r="C11">
        <f t="shared" si="1"/>
        <v>-1.9999999999999574E-2</v>
      </c>
      <c r="D11" s="1"/>
      <c r="E11" s="1"/>
      <c r="F11" s="1"/>
      <c r="G11">
        <f t="shared" si="0"/>
        <v>-0.39999999999999153</v>
      </c>
      <c r="H11" s="1"/>
      <c r="I11" s="1"/>
      <c r="J11" s="1"/>
      <c r="K11" s="1"/>
    </row>
    <row r="12" spans="1:11" x14ac:dyDescent="0.3">
      <c r="A12" s="1"/>
      <c r="B12">
        <v>4.97</v>
      </c>
      <c r="C12">
        <f t="shared" si="1"/>
        <v>-3.0000000000000249E-2</v>
      </c>
      <c r="D12" s="1"/>
      <c r="E12" s="1"/>
      <c r="F12" s="1"/>
      <c r="G12">
        <f t="shared" si="0"/>
        <v>-0.60000000000000497</v>
      </c>
      <c r="H12" s="1"/>
      <c r="I12" s="1"/>
      <c r="J12" s="1"/>
      <c r="K12" s="1"/>
    </row>
    <row r="13" spans="1:11" x14ac:dyDescent="0.3">
      <c r="A13" s="1"/>
      <c r="B13">
        <v>4.9800000000000004</v>
      </c>
      <c r="C13">
        <f t="shared" si="1"/>
        <v>-1.9999999999999574E-2</v>
      </c>
      <c r="D13" s="1"/>
      <c r="E13" s="1"/>
      <c r="F13" s="1"/>
      <c r="G13">
        <f t="shared" si="0"/>
        <v>-0.39999999999999153</v>
      </c>
      <c r="H13" s="1"/>
      <c r="I13" s="1"/>
      <c r="J13" s="1"/>
      <c r="K13" s="1"/>
    </row>
    <row r="14" spans="1:11" x14ac:dyDescent="0.3">
      <c r="A14" s="1"/>
      <c r="B14">
        <v>4.99</v>
      </c>
      <c r="C14">
        <f t="shared" si="1"/>
        <v>-9.9999999999997868E-3</v>
      </c>
      <c r="D14" s="1"/>
      <c r="E14" s="1"/>
      <c r="F14" s="1"/>
      <c r="G14">
        <f t="shared" si="0"/>
        <v>-0.19999999999999576</v>
      </c>
      <c r="H14" s="1"/>
      <c r="I14" s="1"/>
      <c r="J14" s="1"/>
      <c r="K14" s="1"/>
    </row>
    <row r="15" spans="1:11" x14ac:dyDescent="0.3">
      <c r="A15" s="1"/>
      <c r="B15">
        <v>4.99</v>
      </c>
      <c r="C15">
        <f t="shared" si="1"/>
        <v>-9.9999999999997868E-3</v>
      </c>
      <c r="D15" s="1"/>
      <c r="E15" s="1"/>
      <c r="F15" s="1"/>
      <c r="G15">
        <f t="shared" si="0"/>
        <v>-0.19999999999999576</v>
      </c>
      <c r="H15" s="1"/>
      <c r="I15" s="1"/>
      <c r="J15" s="1"/>
      <c r="K15" s="1"/>
    </row>
    <row r="16" spans="1:11" x14ac:dyDescent="0.3">
      <c r="A16" s="1"/>
      <c r="B16">
        <v>5</v>
      </c>
      <c r="C16">
        <f t="shared" si="1"/>
        <v>0</v>
      </c>
      <c r="D16" s="1"/>
      <c r="E16" s="1"/>
      <c r="F16" s="1"/>
      <c r="G16">
        <f t="shared" si="0"/>
        <v>0</v>
      </c>
      <c r="H16" s="1"/>
      <c r="I16" s="1"/>
      <c r="J16" s="1"/>
      <c r="K16" s="1"/>
    </row>
    <row r="17" spans="1:11" x14ac:dyDescent="0.3">
      <c r="A17" s="1"/>
      <c r="B17">
        <v>4.9800000000000004</v>
      </c>
      <c r="C17">
        <f t="shared" si="1"/>
        <v>-1.9999999999999574E-2</v>
      </c>
      <c r="D17" s="1"/>
      <c r="E17" s="1"/>
      <c r="F17" s="1"/>
      <c r="G17">
        <f t="shared" si="0"/>
        <v>-0.39999999999999153</v>
      </c>
      <c r="H17" s="1"/>
      <c r="I17" s="1"/>
      <c r="J17" s="1"/>
      <c r="K17" s="1"/>
    </row>
    <row r="18" spans="1:11" x14ac:dyDescent="0.3">
      <c r="A18" s="1"/>
      <c r="B18">
        <v>4.99</v>
      </c>
      <c r="C18">
        <f t="shared" si="1"/>
        <v>-9.9999999999997868E-3</v>
      </c>
      <c r="D18" s="1"/>
      <c r="E18" s="1"/>
      <c r="F18" s="1"/>
      <c r="G18">
        <f t="shared" si="0"/>
        <v>-0.19999999999999576</v>
      </c>
      <c r="H18" s="1"/>
      <c r="I18" s="1"/>
      <c r="J18" s="1"/>
      <c r="K18" s="1"/>
    </row>
    <row r="19" spans="1:11" x14ac:dyDescent="0.3">
      <c r="A19" s="1"/>
      <c r="B19">
        <v>5</v>
      </c>
      <c r="C19">
        <f t="shared" si="1"/>
        <v>0</v>
      </c>
      <c r="D19" s="1"/>
      <c r="E19" s="1"/>
      <c r="F19" s="1"/>
      <c r="G19">
        <f t="shared" si="0"/>
        <v>0</v>
      </c>
      <c r="H19" s="1"/>
      <c r="I19" s="1"/>
      <c r="J19" s="1"/>
      <c r="K19" s="1"/>
    </row>
    <row r="20" spans="1:11" x14ac:dyDescent="0.3">
      <c r="A20" s="1"/>
      <c r="B20">
        <v>5</v>
      </c>
      <c r="C20">
        <f t="shared" si="1"/>
        <v>0</v>
      </c>
      <c r="D20" s="1"/>
      <c r="E20" s="1"/>
      <c r="F20" s="1"/>
      <c r="G20">
        <f t="shared" si="0"/>
        <v>0</v>
      </c>
      <c r="H20" s="1"/>
      <c r="I20" s="1"/>
      <c r="J20" s="1"/>
      <c r="K20" s="1"/>
    </row>
    <row r="21" spans="1:11" x14ac:dyDescent="0.3">
      <c r="A21" s="1"/>
      <c r="B21">
        <v>5.0199999999999996</v>
      </c>
      <c r="C21">
        <f t="shared" si="1"/>
        <v>1.9999999999999574E-2</v>
      </c>
      <c r="D21" s="1"/>
      <c r="E21" s="1"/>
      <c r="F21" s="1"/>
      <c r="G21">
        <f t="shared" si="0"/>
        <v>0.39999999999999153</v>
      </c>
      <c r="H21" s="1"/>
      <c r="I21" s="1"/>
      <c r="J21" s="1"/>
      <c r="K21" s="1"/>
    </row>
    <row r="22" spans="1:11" x14ac:dyDescent="0.3">
      <c r="A22" s="1"/>
      <c r="B22">
        <v>4.96</v>
      </c>
      <c r="C22">
        <f t="shared" si="1"/>
        <v>-4.0000000000000036E-2</v>
      </c>
      <c r="D22" s="1"/>
      <c r="E22" s="1"/>
      <c r="F22" s="1"/>
      <c r="G22">
        <f t="shared" si="0"/>
        <v>-0.80000000000000071</v>
      </c>
      <c r="H22" s="1"/>
      <c r="I22" s="1"/>
      <c r="J22" s="1"/>
      <c r="K22" s="1"/>
    </row>
    <row r="23" spans="1:11" x14ac:dyDescent="0.3">
      <c r="A23" s="1"/>
      <c r="B23">
        <v>5.03</v>
      </c>
      <c r="C23">
        <f t="shared" si="1"/>
        <v>3.0000000000000249E-2</v>
      </c>
      <c r="D23" s="1"/>
      <c r="E23" s="1"/>
      <c r="F23" s="1"/>
      <c r="G23">
        <f t="shared" si="0"/>
        <v>0.60000000000000497</v>
      </c>
      <c r="H23" s="1"/>
      <c r="I23" s="1"/>
      <c r="J23" s="1"/>
      <c r="K23" s="1"/>
    </row>
    <row r="24" spans="1:11" x14ac:dyDescent="0.3">
      <c r="A24" s="1"/>
      <c r="B24">
        <v>4.9800000000000004</v>
      </c>
      <c r="C24">
        <f t="shared" si="1"/>
        <v>-1.9999999999999574E-2</v>
      </c>
      <c r="D24" s="1"/>
      <c r="E24" s="1"/>
      <c r="F24" s="1"/>
      <c r="G24">
        <f t="shared" si="0"/>
        <v>-0.39999999999999153</v>
      </c>
      <c r="H24" s="1"/>
      <c r="I24" s="1"/>
      <c r="J24" s="1"/>
      <c r="K24" s="1"/>
    </row>
    <row r="25" spans="1:11" x14ac:dyDescent="0.3">
      <c r="A25" s="1"/>
      <c r="B25">
        <v>4.97</v>
      </c>
      <c r="C25">
        <f t="shared" si="1"/>
        <v>-3.0000000000000249E-2</v>
      </c>
      <c r="D25" s="1"/>
      <c r="E25" s="1"/>
      <c r="F25" s="1"/>
      <c r="G25">
        <f t="shared" si="0"/>
        <v>-0.60000000000000497</v>
      </c>
      <c r="H25" s="1"/>
      <c r="I25" s="1"/>
      <c r="J25" s="1"/>
      <c r="K25" s="1"/>
    </row>
    <row r="26" spans="1:11" x14ac:dyDescent="0.3">
      <c r="A26" s="1"/>
      <c r="B26">
        <v>4.9800000000000004</v>
      </c>
      <c r="C26">
        <f t="shared" si="1"/>
        <v>-1.9999999999999574E-2</v>
      </c>
      <c r="D26" s="1"/>
      <c r="E26" s="1"/>
      <c r="F26" s="1"/>
      <c r="G26">
        <f t="shared" si="0"/>
        <v>-0.39999999999999153</v>
      </c>
      <c r="H26" s="1"/>
      <c r="I26" s="1"/>
      <c r="J26" s="1"/>
      <c r="K26" s="1"/>
    </row>
    <row r="27" spans="1:11" x14ac:dyDescent="0.3">
      <c r="A27" s="1"/>
      <c r="B27">
        <v>4.9800000000000004</v>
      </c>
      <c r="C27">
        <f t="shared" si="1"/>
        <v>-1.9999999999999574E-2</v>
      </c>
      <c r="D27" s="1"/>
      <c r="E27" s="1"/>
      <c r="F27" s="1"/>
      <c r="G27">
        <f t="shared" si="0"/>
        <v>-0.39999999999999153</v>
      </c>
      <c r="H27" s="1"/>
      <c r="I27" s="1"/>
      <c r="J27" s="1"/>
      <c r="K27" s="1"/>
    </row>
    <row r="28" spans="1:11" x14ac:dyDescent="0.3">
      <c r="A28" s="1"/>
      <c r="B28">
        <v>4.9800000000000004</v>
      </c>
      <c r="C28">
        <f t="shared" si="1"/>
        <v>-1.9999999999999574E-2</v>
      </c>
      <c r="D28" s="1"/>
      <c r="E28" s="1"/>
      <c r="F28" s="1"/>
      <c r="G28">
        <f t="shared" si="0"/>
        <v>-0.39999999999999153</v>
      </c>
      <c r="H28" s="1"/>
      <c r="I28" s="1"/>
      <c r="J28" s="1"/>
      <c r="K28" s="1"/>
    </row>
    <row r="29" spans="1:11" x14ac:dyDescent="0.3">
      <c r="A29" s="1"/>
      <c r="B29">
        <v>5</v>
      </c>
      <c r="C29">
        <f t="shared" si="1"/>
        <v>0</v>
      </c>
      <c r="D29" s="1"/>
      <c r="E29" s="1"/>
      <c r="F29" s="1"/>
      <c r="G29">
        <f t="shared" si="0"/>
        <v>0</v>
      </c>
      <c r="H29" s="1"/>
      <c r="I29" s="1"/>
      <c r="J29" s="1"/>
      <c r="K29" s="1"/>
    </row>
    <row r="30" spans="1:11" x14ac:dyDescent="0.3">
      <c r="A30" s="1"/>
      <c r="B30">
        <v>5.03</v>
      </c>
      <c r="C30">
        <f t="shared" si="1"/>
        <v>3.0000000000000249E-2</v>
      </c>
      <c r="D30" s="1"/>
      <c r="E30" s="1"/>
      <c r="F30" s="1"/>
      <c r="G30">
        <f t="shared" si="0"/>
        <v>0.60000000000000497</v>
      </c>
      <c r="H30" s="1"/>
      <c r="I30" s="1"/>
      <c r="J30" s="1"/>
      <c r="K30" s="1"/>
    </row>
    <row r="31" spans="1:11" x14ac:dyDescent="0.3">
      <c r="A31" s="1"/>
      <c r="B31">
        <v>5.01</v>
      </c>
      <c r="C31">
        <f t="shared" si="1"/>
        <v>9.9999999999997868E-3</v>
      </c>
      <c r="D31" s="1"/>
      <c r="E31" s="1"/>
      <c r="F31" s="1"/>
      <c r="G31">
        <f t="shared" si="0"/>
        <v>0.19999999999999576</v>
      </c>
      <c r="H31" s="1"/>
      <c r="I31" s="1"/>
      <c r="J31" s="1"/>
      <c r="K31" s="1"/>
    </row>
    <row r="32" spans="1:11" x14ac:dyDescent="0.3">
      <c r="A32" s="1"/>
      <c r="B32">
        <v>5.01</v>
      </c>
      <c r="C32">
        <f t="shared" si="1"/>
        <v>9.9999999999997868E-3</v>
      </c>
      <c r="D32" s="1"/>
      <c r="E32" s="1"/>
      <c r="F32" s="1"/>
      <c r="G32">
        <f t="shared" si="0"/>
        <v>0.19999999999999576</v>
      </c>
      <c r="H32" s="1"/>
      <c r="I32" s="1"/>
      <c r="J32" s="1"/>
      <c r="K32" s="1"/>
    </row>
  </sheetData>
  <mergeCells count="8">
    <mergeCell ref="J3:J32"/>
    <mergeCell ref="A3:A32"/>
    <mergeCell ref="K3:K32"/>
    <mergeCell ref="D3:D32"/>
    <mergeCell ref="E3:E32"/>
    <mergeCell ref="F3:F32"/>
    <mergeCell ref="H3:H32"/>
    <mergeCell ref="I3:I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8DCA7-6535-429D-A035-9780A4A618A7}">
  <dimension ref="A1:K32"/>
  <sheetViews>
    <sheetView topLeftCell="B1" workbookViewId="0">
      <selection activeCell="K33" sqref="K33"/>
    </sheetView>
  </sheetViews>
  <sheetFormatPr defaultRowHeight="14.4" x14ac:dyDescent="0.3"/>
  <cols>
    <col min="9" max="9" width="18.109375" bestFit="1" customWidth="1"/>
    <col min="10" max="10" width="13.77734375" bestFit="1" customWidth="1"/>
  </cols>
  <sheetData>
    <row r="1" spans="1:11" x14ac:dyDescent="0.3">
      <c r="A1" t="s">
        <v>11</v>
      </c>
    </row>
    <row r="2" spans="1:11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12</v>
      </c>
    </row>
    <row r="3" spans="1:11" x14ac:dyDescent="0.3">
      <c r="A3" s="1">
        <v>5</v>
      </c>
      <c r="B3">
        <v>5.04</v>
      </c>
      <c r="C3">
        <f>B3-A$3</f>
        <v>4.0000000000000036E-2</v>
      </c>
      <c r="D3" s="1" cm="1">
        <f t="array" ref="D3">AVERAGE(ABS(C3:C32))</f>
        <v>3.5333333333333258E-2</v>
      </c>
      <c r="E3" s="1">
        <f>_xlfn.STDEV.S(C3:C24)</f>
        <v>1.4690162211523266E-2</v>
      </c>
      <c r="F3" s="1">
        <f>AVERAGE(B3:B31)</f>
        <v>5.0358620689655176</v>
      </c>
      <c r="G3">
        <f>(C3/5)*100</f>
        <v>0.80000000000000071</v>
      </c>
      <c r="H3" s="1" cm="1">
        <f t="array" ref="H3">AVERAGE(ABS(G3:G32))</f>
        <v>0.70666666666666522</v>
      </c>
      <c r="I3" s="1">
        <f>_xlfn.STDEV.S(G4:G31)</f>
        <v>0.30026443372256045</v>
      </c>
      <c r="J3" s="1">
        <f>AVERAGE(G3:G31)</f>
        <v>0.7172413793103436</v>
      </c>
      <c r="K3" s="1" cm="1">
        <f t="array" ref="K3">SUM(G3:G32^2)/COUNT(G3:G32)</f>
        <v>0.58399999999999785</v>
      </c>
    </row>
    <row r="4" spans="1:11" x14ac:dyDescent="0.3">
      <c r="A4" s="1"/>
      <c r="B4">
        <v>5.03</v>
      </c>
      <c r="C4">
        <f>B4-A$3</f>
        <v>3.0000000000000249E-2</v>
      </c>
      <c r="D4" s="1"/>
      <c r="E4" s="1"/>
      <c r="F4" s="1"/>
      <c r="G4">
        <f t="shared" ref="G4:G32" si="0">(C4/5)*100</f>
        <v>0.60000000000000497</v>
      </c>
      <c r="H4" s="1"/>
      <c r="I4" s="1"/>
      <c r="J4" s="1"/>
      <c r="K4" s="1"/>
    </row>
    <row r="5" spans="1:11" x14ac:dyDescent="0.3">
      <c r="A5" s="1"/>
      <c r="B5">
        <v>5.0199999999999996</v>
      </c>
      <c r="C5">
        <f t="shared" ref="C5:C32" si="1">B5-A$3</f>
        <v>1.9999999999999574E-2</v>
      </c>
      <c r="D5" s="1"/>
      <c r="E5" s="1"/>
      <c r="F5" s="1"/>
      <c r="G5">
        <f t="shared" si="0"/>
        <v>0.39999999999999153</v>
      </c>
      <c r="H5" s="1"/>
      <c r="I5" s="1"/>
      <c r="J5" s="1"/>
      <c r="K5" s="1"/>
    </row>
    <row r="6" spans="1:11" x14ac:dyDescent="0.3">
      <c r="A6" s="1"/>
      <c r="B6">
        <v>5.04</v>
      </c>
      <c r="C6">
        <f t="shared" si="1"/>
        <v>4.0000000000000036E-2</v>
      </c>
      <c r="D6" s="1"/>
      <c r="E6" s="1"/>
      <c r="F6" s="1"/>
      <c r="G6">
        <f t="shared" si="0"/>
        <v>0.80000000000000071</v>
      </c>
      <c r="H6" s="1"/>
      <c r="I6" s="1"/>
      <c r="J6" s="1"/>
      <c r="K6" s="1"/>
    </row>
    <row r="7" spans="1:11" x14ac:dyDescent="0.3">
      <c r="A7" s="1"/>
      <c r="B7">
        <v>5.04</v>
      </c>
      <c r="C7">
        <f t="shared" si="1"/>
        <v>4.0000000000000036E-2</v>
      </c>
      <c r="D7" s="1"/>
      <c r="E7" s="1"/>
      <c r="F7" s="1"/>
      <c r="G7">
        <f t="shared" si="0"/>
        <v>0.80000000000000071</v>
      </c>
      <c r="H7" s="1"/>
      <c r="I7" s="1"/>
      <c r="J7" s="1"/>
      <c r="K7" s="1"/>
    </row>
    <row r="8" spans="1:11" x14ac:dyDescent="0.3">
      <c r="A8" s="1"/>
      <c r="B8">
        <v>5.05</v>
      </c>
      <c r="C8">
        <f t="shared" si="1"/>
        <v>4.9999999999999822E-2</v>
      </c>
      <c r="D8" s="1"/>
      <c r="E8" s="1"/>
      <c r="F8" s="1"/>
      <c r="G8">
        <f t="shared" si="0"/>
        <v>0.99999999999999634</v>
      </c>
      <c r="H8" s="1"/>
      <c r="I8" s="1"/>
      <c r="J8" s="1"/>
      <c r="K8" s="1"/>
    </row>
    <row r="9" spans="1:11" x14ac:dyDescent="0.3">
      <c r="A9" s="1"/>
      <c r="B9">
        <v>5.01</v>
      </c>
      <c r="C9">
        <f t="shared" si="1"/>
        <v>9.9999999999997868E-3</v>
      </c>
      <c r="D9" s="1"/>
      <c r="E9" s="1"/>
      <c r="F9" s="1"/>
      <c r="G9">
        <f t="shared" si="0"/>
        <v>0.19999999999999576</v>
      </c>
      <c r="H9" s="1"/>
      <c r="I9" s="1"/>
      <c r="J9" s="1"/>
      <c r="K9" s="1"/>
    </row>
    <row r="10" spans="1:11" x14ac:dyDescent="0.3">
      <c r="A10" s="1"/>
      <c r="B10">
        <v>5.04</v>
      </c>
      <c r="C10">
        <f t="shared" si="1"/>
        <v>4.0000000000000036E-2</v>
      </c>
      <c r="D10" s="1"/>
      <c r="E10" s="1"/>
      <c r="F10" s="1"/>
      <c r="G10">
        <f t="shared" si="0"/>
        <v>0.80000000000000071</v>
      </c>
      <c r="H10" s="1"/>
      <c r="I10" s="1"/>
      <c r="J10" s="1"/>
      <c r="K10" s="1"/>
    </row>
    <row r="11" spans="1:11" x14ac:dyDescent="0.3">
      <c r="A11" s="1"/>
      <c r="B11">
        <v>5.0199999999999996</v>
      </c>
      <c r="C11">
        <f t="shared" si="1"/>
        <v>1.9999999999999574E-2</v>
      </c>
      <c r="D11" s="1"/>
      <c r="E11" s="1"/>
      <c r="F11" s="1"/>
      <c r="G11">
        <f t="shared" si="0"/>
        <v>0.39999999999999153</v>
      </c>
      <c r="H11" s="1"/>
      <c r="I11" s="1"/>
      <c r="J11" s="1"/>
      <c r="K11" s="1"/>
    </row>
    <row r="12" spans="1:11" x14ac:dyDescent="0.3">
      <c r="A12" s="1"/>
      <c r="B12">
        <v>5.03</v>
      </c>
      <c r="C12">
        <f t="shared" si="1"/>
        <v>3.0000000000000249E-2</v>
      </c>
      <c r="D12" s="1"/>
      <c r="E12" s="1"/>
      <c r="F12" s="1"/>
      <c r="G12">
        <f t="shared" si="0"/>
        <v>0.60000000000000497</v>
      </c>
      <c r="H12" s="1"/>
      <c r="I12" s="1"/>
      <c r="J12" s="1"/>
      <c r="K12" s="1"/>
    </row>
    <row r="13" spans="1:11" x14ac:dyDescent="0.3">
      <c r="A13" s="1"/>
      <c r="B13">
        <v>5.05</v>
      </c>
      <c r="C13">
        <f t="shared" si="1"/>
        <v>4.9999999999999822E-2</v>
      </c>
      <c r="D13" s="1"/>
      <c r="E13" s="1"/>
      <c r="F13" s="1"/>
      <c r="G13">
        <f t="shared" si="0"/>
        <v>0.99999999999999634</v>
      </c>
      <c r="H13" s="1"/>
      <c r="I13" s="1"/>
      <c r="J13" s="1"/>
      <c r="K13" s="1"/>
    </row>
    <row r="14" spans="1:11" x14ac:dyDescent="0.3">
      <c r="A14" s="1"/>
      <c r="B14">
        <v>5.04</v>
      </c>
      <c r="C14">
        <f t="shared" si="1"/>
        <v>4.0000000000000036E-2</v>
      </c>
      <c r="D14" s="1"/>
      <c r="E14" s="1"/>
      <c r="F14" s="1"/>
      <c r="G14">
        <f t="shared" si="0"/>
        <v>0.80000000000000071</v>
      </c>
      <c r="H14" s="1"/>
      <c r="I14" s="1"/>
      <c r="J14" s="1"/>
      <c r="K14" s="1"/>
    </row>
    <row r="15" spans="1:11" x14ac:dyDescent="0.3">
      <c r="A15" s="1"/>
      <c r="B15">
        <v>5.05</v>
      </c>
      <c r="C15">
        <f t="shared" si="1"/>
        <v>4.9999999999999822E-2</v>
      </c>
      <c r="D15" s="1"/>
      <c r="E15" s="1"/>
      <c r="F15" s="1"/>
      <c r="G15">
        <f t="shared" si="0"/>
        <v>0.99999999999999634</v>
      </c>
      <c r="H15" s="1"/>
      <c r="I15" s="1"/>
      <c r="J15" s="1"/>
      <c r="K15" s="1"/>
    </row>
    <row r="16" spans="1:11" x14ac:dyDescent="0.3">
      <c r="A16" s="1"/>
      <c r="B16">
        <v>5.03</v>
      </c>
      <c r="C16">
        <f t="shared" si="1"/>
        <v>3.0000000000000249E-2</v>
      </c>
      <c r="D16" s="1"/>
      <c r="E16" s="1"/>
      <c r="F16" s="1"/>
      <c r="G16">
        <f t="shared" si="0"/>
        <v>0.60000000000000497</v>
      </c>
      <c r="H16" s="1"/>
      <c r="I16" s="1"/>
      <c r="J16" s="1"/>
      <c r="K16" s="1"/>
    </row>
    <row r="17" spans="1:11" x14ac:dyDescent="0.3">
      <c r="A17" s="1"/>
      <c r="B17">
        <v>5.05</v>
      </c>
      <c r="C17">
        <f t="shared" si="1"/>
        <v>4.9999999999999822E-2</v>
      </c>
      <c r="D17" s="1"/>
      <c r="E17" s="1"/>
      <c r="F17" s="1"/>
      <c r="G17">
        <f t="shared" si="0"/>
        <v>0.99999999999999634</v>
      </c>
      <c r="H17" s="1"/>
      <c r="I17" s="1"/>
      <c r="J17" s="1"/>
      <c r="K17" s="1"/>
    </row>
    <row r="18" spans="1:11" x14ac:dyDescent="0.3">
      <c r="A18" s="1"/>
      <c r="B18">
        <v>5.05</v>
      </c>
      <c r="C18">
        <f t="shared" si="1"/>
        <v>4.9999999999999822E-2</v>
      </c>
      <c r="D18" s="1"/>
      <c r="E18" s="1"/>
      <c r="F18" s="1"/>
      <c r="G18">
        <f t="shared" si="0"/>
        <v>0.99999999999999634</v>
      </c>
      <c r="H18" s="1"/>
      <c r="I18" s="1"/>
      <c r="J18" s="1"/>
      <c r="K18" s="1"/>
    </row>
    <row r="19" spans="1:11" x14ac:dyDescent="0.3">
      <c r="A19" s="1"/>
      <c r="B19">
        <v>5.01</v>
      </c>
      <c r="C19">
        <f t="shared" si="1"/>
        <v>9.9999999999997868E-3</v>
      </c>
      <c r="D19" s="1"/>
      <c r="E19" s="1"/>
      <c r="F19" s="1"/>
      <c r="G19">
        <f t="shared" si="0"/>
        <v>0.19999999999999576</v>
      </c>
      <c r="H19" s="1"/>
      <c r="I19" s="1"/>
      <c r="J19" s="1"/>
      <c r="K19" s="1"/>
    </row>
    <row r="20" spans="1:11" x14ac:dyDescent="0.3">
      <c r="A20" s="1"/>
      <c r="B20">
        <v>5.03</v>
      </c>
      <c r="C20">
        <f t="shared" si="1"/>
        <v>3.0000000000000249E-2</v>
      </c>
      <c r="D20" s="1"/>
      <c r="E20" s="1"/>
      <c r="F20" s="1"/>
      <c r="G20">
        <f t="shared" si="0"/>
        <v>0.60000000000000497</v>
      </c>
      <c r="H20" s="1"/>
      <c r="I20" s="1"/>
      <c r="J20" s="1"/>
      <c r="K20" s="1"/>
    </row>
    <row r="21" spans="1:11" x14ac:dyDescent="0.3">
      <c r="A21" s="1"/>
      <c r="B21">
        <v>5.04</v>
      </c>
      <c r="C21">
        <f t="shared" si="1"/>
        <v>4.0000000000000036E-2</v>
      </c>
      <c r="D21" s="1"/>
      <c r="E21" s="1"/>
      <c r="F21" s="1"/>
      <c r="G21">
        <f t="shared" si="0"/>
        <v>0.80000000000000071</v>
      </c>
      <c r="H21" s="1"/>
      <c r="I21" s="1"/>
      <c r="J21" s="1"/>
      <c r="K21" s="1"/>
    </row>
    <row r="22" spans="1:11" x14ac:dyDescent="0.3">
      <c r="A22" s="1"/>
      <c r="B22">
        <v>5</v>
      </c>
      <c r="C22">
        <f t="shared" si="1"/>
        <v>0</v>
      </c>
      <c r="D22" s="1"/>
      <c r="E22" s="1"/>
      <c r="F22" s="1"/>
      <c r="G22">
        <f t="shared" si="0"/>
        <v>0</v>
      </c>
      <c r="H22" s="1"/>
      <c r="I22" s="1"/>
      <c r="J22" s="1"/>
      <c r="K22" s="1"/>
    </row>
    <row r="23" spans="1:11" x14ac:dyDescent="0.3">
      <c r="A23" s="1"/>
      <c r="B23">
        <v>5.03</v>
      </c>
      <c r="C23">
        <f t="shared" si="1"/>
        <v>3.0000000000000249E-2</v>
      </c>
      <c r="D23" s="1"/>
      <c r="E23" s="1"/>
      <c r="F23" s="1"/>
      <c r="G23">
        <f t="shared" si="0"/>
        <v>0.60000000000000497</v>
      </c>
      <c r="H23" s="1"/>
      <c r="I23" s="1"/>
      <c r="J23" s="1"/>
      <c r="K23" s="1"/>
    </row>
    <row r="24" spans="1:11" x14ac:dyDescent="0.3">
      <c r="A24" s="1"/>
      <c r="B24">
        <v>5.05</v>
      </c>
      <c r="C24">
        <f t="shared" si="1"/>
        <v>4.9999999999999822E-2</v>
      </c>
      <c r="D24" s="1"/>
      <c r="E24" s="1"/>
      <c r="F24" s="1"/>
      <c r="G24">
        <f t="shared" si="0"/>
        <v>0.99999999999999634</v>
      </c>
      <c r="H24" s="1"/>
      <c r="I24" s="1"/>
      <c r="J24" s="1"/>
      <c r="K24" s="1"/>
    </row>
    <row r="25" spans="1:11" x14ac:dyDescent="0.3">
      <c r="A25" s="1"/>
      <c r="B25">
        <v>5.03</v>
      </c>
      <c r="C25">
        <f t="shared" si="1"/>
        <v>3.0000000000000249E-2</v>
      </c>
      <c r="D25" s="1"/>
      <c r="E25" s="1"/>
      <c r="F25" s="1"/>
      <c r="G25">
        <f t="shared" si="0"/>
        <v>0.60000000000000497</v>
      </c>
      <c r="H25" s="1"/>
      <c r="I25" s="1"/>
      <c r="J25" s="1"/>
      <c r="K25" s="1"/>
    </row>
    <row r="26" spans="1:11" x14ac:dyDescent="0.3">
      <c r="A26" s="1"/>
      <c r="B26">
        <v>5.0599999999999996</v>
      </c>
      <c r="C26">
        <f t="shared" si="1"/>
        <v>5.9999999999999609E-2</v>
      </c>
      <c r="D26" s="1"/>
      <c r="E26" s="1"/>
      <c r="F26" s="1"/>
      <c r="G26">
        <f t="shared" si="0"/>
        <v>1.1999999999999922</v>
      </c>
      <c r="H26" s="1"/>
      <c r="I26" s="1"/>
      <c r="J26" s="1"/>
      <c r="K26" s="1"/>
    </row>
    <row r="27" spans="1:11" x14ac:dyDescent="0.3">
      <c r="A27" s="1"/>
      <c r="B27">
        <v>5.0199999999999996</v>
      </c>
      <c r="C27">
        <f t="shared" si="1"/>
        <v>1.9999999999999574E-2</v>
      </c>
      <c r="D27" s="1"/>
      <c r="E27" s="1"/>
      <c r="F27" s="1"/>
      <c r="G27">
        <f t="shared" si="0"/>
        <v>0.39999999999999153</v>
      </c>
      <c r="H27" s="1"/>
      <c r="I27" s="1"/>
      <c r="J27" s="1"/>
      <c r="K27" s="1"/>
    </row>
    <row r="28" spans="1:11" x14ac:dyDescent="0.3">
      <c r="A28" s="1"/>
      <c r="B28">
        <v>5.05</v>
      </c>
      <c r="C28">
        <f t="shared" si="1"/>
        <v>4.9999999999999822E-2</v>
      </c>
      <c r="D28" s="1"/>
      <c r="E28" s="1"/>
      <c r="F28" s="1"/>
      <c r="G28">
        <f t="shared" si="0"/>
        <v>0.99999999999999634</v>
      </c>
      <c r="H28" s="1"/>
      <c r="I28" s="1"/>
      <c r="J28" s="1"/>
      <c r="K28" s="1"/>
    </row>
    <row r="29" spans="1:11" x14ac:dyDescent="0.3">
      <c r="A29" s="1"/>
      <c r="B29">
        <v>5.05</v>
      </c>
      <c r="C29">
        <f t="shared" si="1"/>
        <v>4.9999999999999822E-2</v>
      </c>
      <c r="D29" s="1"/>
      <c r="E29" s="1"/>
      <c r="F29" s="1"/>
      <c r="G29">
        <f t="shared" si="0"/>
        <v>0.99999999999999634</v>
      </c>
      <c r="H29" s="1"/>
      <c r="I29" s="1"/>
      <c r="J29" s="1"/>
      <c r="K29" s="1"/>
    </row>
    <row r="30" spans="1:11" x14ac:dyDescent="0.3">
      <c r="A30" s="1"/>
      <c r="B30">
        <v>5.03</v>
      </c>
      <c r="C30">
        <f t="shared" si="1"/>
        <v>3.0000000000000249E-2</v>
      </c>
      <c r="D30" s="1"/>
      <c r="E30" s="1"/>
      <c r="F30" s="1"/>
      <c r="G30">
        <f t="shared" si="0"/>
        <v>0.60000000000000497</v>
      </c>
      <c r="H30" s="1"/>
      <c r="I30" s="1"/>
      <c r="J30" s="1"/>
      <c r="K30" s="1"/>
    </row>
    <row r="31" spans="1:11" x14ac:dyDescent="0.3">
      <c r="A31" s="1"/>
      <c r="B31">
        <v>5.05</v>
      </c>
      <c r="C31">
        <f t="shared" si="1"/>
        <v>4.9999999999999822E-2</v>
      </c>
      <c r="D31" s="1"/>
      <c r="E31" s="1"/>
      <c r="F31" s="1"/>
      <c r="G31">
        <f t="shared" si="0"/>
        <v>0.99999999999999634</v>
      </c>
      <c r="H31" s="1"/>
      <c r="I31" s="1"/>
      <c r="J31" s="1"/>
      <c r="K31" s="1"/>
    </row>
    <row r="32" spans="1:11" x14ac:dyDescent="0.3">
      <c r="A32" s="1"/>
      <c r="B32">
        <v>5.0199999999999996</v>
      </c>
      <c r="C32">
        <f t="shared" si="1"/>
        <v>1.9999999999999574E-2</v>
      </c>
      <c r="D32" s="1"/>
      <c r="E32" s="1"/>
      <c r="F32" s="1"/>
      <c r="G32">
        <f t="shared" si="0"/>
        <v>0.39999999999999153</v>
      </c>
      <c r="H32" s="1"/>
      <c r="I32" s="1"/>
      <c r="J32" s="1"/>
      <c r="K32" s="1"/>
    </row>
  </sheetData>
  <mergeCells count="8">
    <mergeCell ref="K3:K32"/>
    <mergeCell ref="A3:A32"/>
    <mergeCell ref="D3:D32"/>
    <mergeCell ref="E3:E32"/>
    <mergeCell ref="F3:F32"/>
    <mergeCell ref="H3:H32"/>
    <mergeCell ref="I3:I32"/>
    <mergeCell ref="J3:J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681A6-9149-4393-8C3E-94627C46AA1C}">
  <dimension ref="A1:K32"/>
  <sheetViews>
    <sheetView zoomScale="80" workbookViewId="0">
      <selection activeCell="K33" sqref="K33"/>
    </sheetView>
  </sheetViews>
  <sheetFormatPr defaultRowHeight="14.4" x14ac:dyDescent="0.3"/>
  <cols>
    <col min="6" max="6" width="14.33203125" bestFit="1" customWidth="1"/>
    <col min="9" max="9" width="18.109375" bestFit="1" customWidth="1"/>
    <col min="10" max="10" width="13.77734375" bestFit="1" customWidth="1"/>
    <col min="11" max="11" width="12" bestFit="1" customWidth="1"/>
  </cols>
  <sheetData>
    <row r="1" spans="1:11" x14ac:dyDescent="0.3">
      <c r="A1" t="s">
        <v>13</v>
      </c>
    </row>
    <row r="2" spans="1:11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12</v>
      </c>
    </row>
    <row r="3" spans="1:11" x14ac:dyDescent="0.3">
      <c r="A3" s="1">
        <v>5</v>
      </c>
      <c r="B3">
        <v>5.04</v>
      </c>
      <c r="C3">
        <f>B3-A$3</f>
        <v>4.0000000000000036E-2</v>
      </c>
      <c r="D3" s="1" cm="1">
        <f t="array" ref="D3">AVERAGE(ABS(C3:C32))</f>
        <v>2.833333333333329E-2</v>
      </c>
      <c r="E3" s="1">
        <f>_xlfn.STDEV.S(C3:C32)</f>
        <v>2.7048275275926598E-2</v>
      </c>
      <c r="F3" s="1">
        <f>AVERAGE(B3:B32)</f>
        <v>5.0216666666666656</v>
      </c>
      <c r="G3">
        <f>(C3/5)*100</f>
        <v>0.80000000000000071</v>
      </c>
      <c r="H3" s="1" cm="1">
        <f t="array" ref="H3">AVERAGE(ABS(G3:G32))</f>
        <v>0.56666666666666587</v>
      </c>
      <c r="I3" s="1">
        <f>_xlfn.STDEV.S(G3:G32)</f>
        <v>0.54096550551853184</v>
      </c>
      <c r="J3" s="1">
        <f>AVERAGE(G3:G32)</f>
        <v>0.43333333333333296</v>
      </c>
      <c r="K3" s="1" cm="1">
        <f t="array" ref="K3">SUM(G3:G32^2)/COUNT(G3:G32)</f>
        <v>0.47066666666666751</v>
      </c>
    </row>
    <row r="4" spans="1:11" x14ac:dyDescent="0.3">
      <c r="A4" s="1"/>
      <c r="B4">
        <v>5.03</v>
      </c>
      <c r="C4">
        <f>B4-A$3</f>
        <v>3.0000000000000249E-2</v>
      </c>
      <c r="D4" s="1"/>
      <c r="E4" s="1"/>
      <c r="F4" s="1"/>
      <c r="G4">
        <f t="shared" ref="G4:G32" si="0">(C4/5)*100</f>
        <v>0.60000000000000497</v>
      </c>
      <c r="H4" s="1"/>
      <c r="I4" s="1"/>
      <c r="J4" s="1"/>
      <c r="K4" s="1"/>
    </row>
    <row r="5" spans="1:11" x14ac:dyDescent="0.3">
      <c r="A5" s="1"/>
      <c r="B5">
        <v>5.04</v>
      </c>
      <c r="C5">
        <f t="shared" ref="C5:C32" si="1">B5-A$3</f>
        <v>4.0000000000000036E-2</v>
      </c>
      <c r="D5" s="1"/>
      <c r="E5" s="1"/>
      <c r="F5" s="1"/>
      <c r="G5">
        <f t="shared" si="0"/>
        <v>0.80000000000000071</v>
      </c>
      <c r="H5" s="1"/>
      <c r="I5" s="1"/>
      <c r="J5" s="1"/>
      <c r="K5" s="1"/>
    </row>
    <row r="6" spans="1:11" x14ac:dyDescent="0.3">
      <c r="A6" s="1"/>
      <c r="B6">
        <v>5.03</v>
      </c>
      <c r="C6">
        <f t="shared" si="1"/>
        <v>3.0000000000000249E-2</v>
      </c>
      <c r="D6" s="1"/>
      <c r="E6" s="1"/>
      <c r="F6" s="1"/>
      <c r="G6">
        <f t="shared" si="0"/>
        <v>0.60000000000000497</v>
      </c>
      <c r="H6" s="1"/>
      <c r="I6" s="1"/>
      <c r="J6" s="1"/>
      <c r="K6" s="1"/>
    </row>
    <row r="7" spans="1:11" x14ac:dyDescent="0.3">
      <c r="A7" s="1"/>
      <c r="B7">
        <v>5.03</v>
      </c>
      <c r="C7">
        <f t="shared" si="1"/>
        <v>3.0000000000000249E-2</v>
      </c>
      <c r="D7" s="1"/>
      <c r="E7" s="1"/>
      <c r="F7" s="1"/>
      <c r="G7">
        <f t="shared" si="0"/>
        <v>0.60000000000000497</v>
      </c>
      <c r="H7" s="1"/>
      <c r="I7" s="1"/>
      <c r="J7" s="1"/>
      <c r="K7" s="1"/>
    </row>
    <row r="8" spans="1:11" x14ac:dyDescent="0.3">
      <c r="A8" s="1"/>
      <c r="B8">
        <v>5.0199999999999996</v>
      </c>
      <c r="C8">
        <f t="shared" si="1"/>
        <v>1.9999999999999574E-2</v>
      </c>
      <c r="D8" s="1"/>
      <c r="E8" s="1"/>
      <c r="F8" s="1"/>
      <c r="G8">
        <f t="shared" si="0"/>
        <v>0.39999999999999153</v>
      </c>
      <c r="H8" s="1"/>
      <c r="I8" s="1"/>
      <c r="J8" s="1"/>
      <c r="K8" s="1"/>
    </row>
    <row r="9" spans="1:11" x14ac:dyDescent="0.3">
      <c r="A9" s="1"/>
      <c r="B9">
        <v>5</v>
      </c>
      <c r="C9">
        <f t="shared" si="1"/>
        <v>0</v>
      </c>
      <c r="D9" s="1"/>
      <c r="E9" s="1"/>
      <c r="F9" s="1"/>
      <c r="G9">
        <f t="shared" si="0"/>
        <v>0</v>
      </c>
      <c r="H9" s="1"/>
      <c r="I9" s="1"/>
      <c r="J9" s="1"/>
      <c r="K9" s="1"/>
    </row>
    <row r="10" spans="1:11" x14ac:dyDescent="0.3">
      <c r="A10" s="1"/>
      <c r="B10">
        <v>5.03</v>
      </c>
      <c r="C10">
        <f t="shared" si="1"/>
        <v>3.0000000000000249E-2</v>
      </c>
      <c r="D10" s="1"/>
      <c r="E10" s="1"/>
      <c r="F10" s="1"/>
      <c r="G10">
        <f t="shared" si="0"/>
        <v>0.60000000000000497</v>
      </c>
      <c r="H10" s="1"/>
      <c r="I10" s="1"/>
      <c r="J10" s="1"/>
      <c r="K10" s="1"/>
    </row>
    <row r="11" spans="1:11" x14ac:dyDescent="0.3">
      <c r="A11" s="1"/>
      <c r="B11">
        <v>4.96</v>
      </c>
      <c r="C11">
        <f t="shared" si="1"/>
        <v>-4.0000000000000036E-2</v>
      </c>
      <c r="D11" s="1"/>
      <c r="E11" s="1"/>
      <c r="F11" s="1"/>
      <c r="G11">
        <f t="shared" si="0"/>
        <v>-0.80000000000000071</v>
      </c>
      <c r="H11" s="1"/>
      <c r="I11" s="1"/>
      <c r="J11" s="1"/>
      <c r="K11" s="1"/>
    </row>
    <row r="12" spans="1:11" x14ac:dyDescent="0.3">
      <c r="A12" s="1"/>
      <c r="B12">
        <v>5.03</v>
      </c>
      <c r="C12">
        <f t="shared" si="1"/>
        <v>3.0000000000000249E-2</v>
      </c>
      <c r="D12" s="1"/>
      <c r="E12" s="1"/>
      <c r="F12" s="1"/>
      <c r="G12">
        <f t="shared" si="0"/>
        <v>0.60000000000000497</v>
      </c>
      <c r="H12" s="1"/>
      <c r="I12" s="1"/>
      <c r="J12" s="1"/>
      <c r="K12" s="1"/>
    </row>
    <row r="13" spans="1:11" x14ac:dyDescent="0.3">
      <c r="A13" s="1"/>
      <c r="B13">
        <v>5.0199999999999996</v>
      </c>
      <c r="C13">
        <f t="shared" si="1"/>
        <v>1.9999999999999574E-2</v>
      </c>
      <c r="D13" s="1"/>
      <c r="E13" s="1"/>
      <c r="F13" s="1"/>
      <c r="G13">
        <f t="shared" si="0"/>
        <v>0.39999999999999153</v>
      </c>
      <c r="H13" s="1"/>
      <c r="I13" s="1"/>
      <c r="J13" s="1"/>
      <c r="K13" s="1"/>
    </row>
    <row r="14" spans="1:11" x14ac:dyDescent="0.3">
      <c r="A14" s="1"/>
      <c r="B14">
        <v>5.1100000000000003</v>
      </c>
      <c r="C14">
        <f t="shared" si="1"/>
        <v>0.11000000000000032</v>
      </c>
      <c r="D14" s="1"/>
      <c r="E14" s="1"/>
      <c r="F14" s="1"/>
      <c r="G14">
        <f t="shared" si="0"/>
        <v>2.2000000000000064</v>
      </c>
      <c r="H14" s="1"/>
      <c r="I14" s="1"/>
      <c r="J14" s="1"/>
      <c r="K14" s="1"/>
    </row>
    <row r="15" spans="1:11" x14ac:dyDescent="0.3">
      <c r="A15" s="1"/>
      <c r="B15">
        <v>5.0199999999999996</v>
      </c>
      <c r="C15">
        <f t="shared" si="1"/>
        <v>1.9999999999999574E-2</v>
      </c>
      <c r="D15" s="1"/>
      <c r="E15" s="1"/>
      <c r="F15" s="1"/>
      <c r="G15">
        <f t="shared" si="0"/>
        <v>0.39999999999999153</v>
      </c>
      <c r="H15" s="1"/>
      <c r="I15" s="1"/>
      <c r="J15" s="1"/>
      <c r="K15" s="1"/>
    </row>
    <row r="16" spans="1:11" x14ac:dyDescent="0.3">
      <c r="A16" s="1"/>
      <c r="B16">
        <v>5.0199999999999996</v>
      </c>
      <c r="C16">
        <f t="shared" si="1"/>
        <v>1.9999999999999574E-2</v>
      </c>
      <c r="D16" s="1"/>
      <c r="E16" s="1"/>
      <c r="F16" s="1"/>
      <c r="G16">
        <f t="shared" si="0"/>
        <v>0.39999999999999153</v>
      </c>
      <c r="H16" s="1"/>
      <c r="I16" s="1"/>
      <c r="J16" s="1"/>
      <c r="K16" s="1"/>
    </row>
    <row r="17" spans="1:11" x14ac:dyDescent="0.3">
      <c r="A17" s="1"/>
      <c r="B17">
        <v>5.03</v>
      </c>
      <c r="C17">
        <f t="shared" si="1"/>
        <v>3.0000000000000249E-2</v>
      </c>
      <c r="D17" s="1"/>
      <c r="E17" s="1"/>
      <c r="F17" s="1"/>
      <c r="G17">
        <f t="shared" si="0"/>
        <v>0.60000000000000497</v>
      </c>
      <c r="H17" s="1"/>
      <c r="I17" s="1"/>
      <c r="J17" s="1"/>
      <c r="K17" s="1"/>
    </row>
    <row r="18" spans="1:11" x14ac:dyDescent="0.3">
      <c r="A18" s="1"/>
      <c r="B18">
        <v>5</v>
      </c>
      <c r="C18">
        <f t="shared" si="1"/>
        <v>0</v>
      </c>
      <c r="D18" s="1"/>
      <c r="E18" s="1"/>
      <c r="F18" s="1"/>
      <c r="G18">
        <f t="shared" si="0"/>
        <v>0</v>
      </c>
      <c r="H18" s="1"/>
      <c r="I18" s="1"/>
      <c r="J18" s="1"/>
      <c r="K18" s="1"/>
    </row>
    <row r="19" spans="1:11" x14ac:dyDescent="0.3">
      <c r="A19" s="1"/>
      <c r="B19">
        <v>5.0199999999999996</v>
      </c>
      <c r="C19">
        <f t="shared" si="1"/>
        <v>1.9999999999999574E-2</v>
      </c>
      <c r="D19" s="1"/>
      <c r="E19" s="1"/>
      <c r="F19" s="1"/>
      <c r="G19">
        <f t="shared" si="0"/>
        <v>0.39999999999999153</v>
      </c>
      <c r="H19" s="1"/>
      <c r="I19" s="1"/>
      <c r="J19" s="1"/>
      <c r="K19" s="1"/>
    </row>
    <row r="20" spans="1:11" x14ac:dyDescent="0.3">
      <c r="A20" s="1"/>
      <c r="B20">
        <v>5.03</v>
      </c>
      <c r="C20">
        <f t="shared" si="1"/>
        <v>3.0000000000000249E-2</v>
      </c>
      <c r="D20" s="1"/>
      <c r="E20" s="1"/>
      <c r="F20" s="1"/>
      <c r="G20">
        <f t="shared" si="0"/>
        <v>0.60000000000000497</v>
      </c>
      <c r="H20" s="1"/>
      <c r="I20" s="1"/>
      <c r="J20" s="1"/>
      <c r="K20" s="1"/>
    </row>
    <row r="21" spans="1:11" x14ac:dyDescent="0.3">
      <c r="A21" s="1"/>
      <c r="B21">
        <v>5.0199999999999996</v>
      </c>
      <c r="C21">
        <f t="shared" si="1"/>
        <v>1.9999999999999574E-2</v>
      </c>
      <c r="D21" s="1"/>
      <c r="E21" s="1"/>
      <c r="F21" s="1"/>
      <c r="G21">
        <f t="shared" si="0"/>
        <v>0.39999999999999153</v>
      </c>
      <c r="H21" s="1"/>
      <c r="I21" s="1"/>
      <c r="J21" s="1"/>
      <c r="K21" s="1"/>
    </row>
    <row r="22" spans="1:11" x14ac:dyDescent="0.3">
      <c r="A22" s="1"/>
      <c r="B22">
        <v>4.99</v>
      </c>
      <c r="C22">
        <f t="shared" si="1"/>
        <v>-9.9999999999997868E-3</v>
      </c>
      <c r="D22" s="1"/>
      <c r="E22" s="1"/>
      <c r="F22" s="1"/>
      <c r="G22">
        <f t="shared" si="0"/>
        <v>-0.19999999999999576</v>
      </c>
      <c r="H22" s="1"/>
      <c r="I22" s="1"/>
      <c r="J22" s="1"/>
      <c r="K22" s="1"/>
    </row>
    <row r="23" spans="1:11" x14ac:dyDescent="0.3">
      <c r="A23" s="1"/>
      <c r="B23">
        <v>4.95</v>
      </c>
      <c r="C23">
        <f t="shared" si="1"/>
        <v>-4.9999999999999822E-2</v>
      </c>
      <c r="D23" s="1"/>
      <c r="E23" s="1"/>
      <c r="F23" s="1"/>
      <c r="G23">
        <f t="shared" si="0"/>
        <v>-0.99999999999999634</v>
      </c>
      <c r="H23" s="1"/>
      <c r="I23" s="1"/>
      <c r="J23" s="1"/>
      <c r="K23" s="1"/>
    </row>
    <row r="24" spans="1:11" x14ac:dyDescent="0.3">
      <c r="A24" s="1"/>
      <c r="B24">
        <v>5.03</v>
      </c>
      <c r="C24">
        <f t="shared" si="1"/>
        <v>3.0000000000000249E-2</v>
      </c>
      <c r="D24" s="1"/>
      <c r="E24" s="1"/>
      <c r="F24" s="1"/>
      <c r="G24">
        <f t="shared" si="0"/>
        <v>0.60000000000000497</v>
      </c>
      <c r="H24" s="1"/>
      <c r="I24" s="1"/>
      <c r="J24" s="1"/>
      <c r="K24" s="1"/>
    </row>
    <row r="25" spans="1:11" x14ac:dyDescent="0.3">
      <c r="A25" s="1"/>
      <c r="B25">
        <v>5.0199999999999996</v>
      </c>
      <c r="C25">
        <f t="shared" si="1"/>
        <v>1.9999999999999574E-2</v>
      </c>
      <c r="D25" s="1"/>
      <c r="E25" s="1"/>
      <c r="F25" s="1"/>
      <c r="G25">
        <f t="shared" si="0"/>
        <v>0.39999999999999153</v>
      </c>
      <c r="H25" s="1"/>
      <c r="I25" s="1"/>
      <c r="J25" s="1"/>
      <c r="K25" s="1"/>
    </row>
    <row r="26" spans="1:11" x14ac:dyDescent="0.3">
      <c r="A26" s="1"/>
      <c r="B26">
        <v>5.03</v>
      </c>
      <c r="C26">
        <f t="shared" si="1"/>
        <v>3.0000000000000249E-2</v>
      </c>
      <c r="D26" s="1"/>
      <c r="E26" s="1"/>
      <c r="F26" s="1"/>
      <c r="G26">
        <f t="shared" si="0"/>
        <v>0.60000000000000497</v>
      </c>
      <c r="H26" s="1"/>
      <c r="I26" s="1"/>
      <c r="J26" s="1"/>
      <c r="K26" s="1"/>
    </row>
    <row r="27" spans="1:11" x14ac:dyDescent="0.3">
      <c r="A27" s="1"/>
      <c r="B27">
        <v>5.0199999999999996</v>
      </c>
      <c r="C27">
        <f t="shared" si="1"/>
        <v>1.9999999999999574E-2</v>
      </c>
      <c r="D27" s="1"/>
      <c r="E27" s="1"/>
      <c r="F27" s="1"/>
      <c r="G27">
        <f t="shared" si="0"/>
        <v>0.39999999999999153</v>
      </c>
      <c r="H27" s="1"/>
      <c r="I27" s="1"/>
      <c r="J27" s="1"/>
      <c r="K27" s="1"/>
    </row>
    <row r="28" spans="1:11" x14ac:dyDescent="0.3">
      <c r="A28" s="1"/>
      <c r="B28">
        <v>5.03</v>
      </c>
      <c r="C28">
        <f t="shared" si="1"/>
        <v>3.0000000000000249E-2</v>
      </c>
      <c r="D28" s="1"/>
      <c r="E28" s="1"/>
      <c r="F28" s="1"/>
      <c r="G28">
        <f t="shared" si="0"/>
        <v>0.60000000000000497</v>
      </c>
      <c r="H28" s="1"/>
      <c r="I28" s="1"/>
      <c r="J28" s="1"/>
      <c r="K28" s="1"/>
    </row>
    <row r="29" spans="1:11" x14ac:dyDescent="0.3">
      <c r="A29" s="1"/>
      <c r="B29">
        <v>5.04</v>
      </c>
      <c r="C29">
        <f t="shared" si="1"/>
        <v>4.0000000000000036E-2</v>
      </c>
      <c r="D29" s="1"/>
      <c r="E29" s="1"/>
      <c r="F29" s="1"/>
      <c r="G29">
        <f t="shared" si="0"/>
        <v>0.80000000000000071</v>
      </c>
      <c r="H29" s="1"/>
      <c r="I29" s="1"/>
      <c r="J29" s="1"/>
      <c r="K29" s="1"/>
    </row>
    <row r="30" spans="1:11" x14ac:dyDescent="0.3">
      <c r="A30" s="1"/>
      <c r="B30">
        <v>5.0199999999999996</v>
      </c>
      <c r="C30">
        <f t="shared" si="1"/>
        <v>1.9999999999999574E-2</v>
      </c>
      <c r="D30" s="1"/>
      <c r="E30" s="1"/>
      <c r="F30" s="1"/>
      <c r="G30">
        <f t="shared" si="0"/>
        <v>0.39999999999999153</v>
      </c>
      <c r="H30" s="1"/>
      <c r="I30" s="1"/>
      <c r="J30" s="1"/>
      <c r="K30" s="1"/>
    </row>
    <row r="31" spans="1:11" x14ac:dyDescent="0.3">
      <c r="A31" s="1"/>
      <c r="B31">
        <v>5.04</v>
      </c>
      <c r="C31">
        <f t="shared" si="1"/>
        <v>4.0000000000000036E-2</v>
      </c>
      <c r="D31" s="1"/>
      <c r="E31" s="1"/>
      <c r="F31" s="1"/>
      <c r="G31">
        <f t="shared" si="0"/>
        <v>0.80000000000000071</v>
      </c>
      <c r="H31" s="1"/>
      <c r="I31" s="1"/>
      <c r="J31" s="1"/>
      <c r="K31" s="1"/>
    </row>
    <row r="32" spans="1:11" x14ac:dyDescent="0.3">
      <c r="A32" s="1"/>
      <c r="B32">
        <v>5</v>
      </c>
      <c r="C32">
        <f t="shared" si="1"/>
        <v>0</v>
      </c>
      <c r="D32" s="1"/>
      <c r="E32" s="1"/>
      <c r="F32" s="1"/>
      <c r="G32">
        <f t="shared" si="0"/>
        <v>0</v>
      </c>
      <c r="H32" s="1"/>
      <c r="I32" s="1"/>
      <c r="J32" s="1"/>
      <c r="K32" s="1"/>
    </row>
  </sheetData>
  <mergeCells count="8">
    <mergeCell ref="K3:K32"/>
    <mergeCell ref="A3:A32"/>
    <mergeCell ref="D3:D32"/>
    <mergeCell ref="E3:E32"/>
    <mergeCell ref="F3:F32"/>
    <mergeCell ref="H3:H32"/>
    <mergeCell ref="I3:I32"/>
    <mergeCell ref="J3:J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15C5F-D414-46AC-855B-43393F1F51F0}">
  <dimension ref="A1:K32"/>
  <sheetViews>
    <sheetView tabSelected="1" zoomScale="110" workbookViewId="0">
      <selection activeCell="K3" sqref="K3:K32"/>
    </sheetView>
  </sheetViews>
  <sheetFormatPr defaultRowHeight="14.4" x14ac:dyDescent="0.3"/>
  <cols>
    <col min="6" max="6" width="14.33203125" bestFit="1" customWidth="1"/>
    <col min="8" max="8" width="12" bestFit="1" customWidth="1"/>
    <col min="9" max="9" width="18.33203125" bestFit="1" customWidth="1"/>
    <col min="10" max="10" width="13.77734375" bestFit="1" customWidth="1"/>
  </cols>
  <sheetData>
    <row r="1" spans="1:11" x14ac:dyDescent="0.3">
      <c r="A1" t="s">
        <v>14</v>
      </c>
    </row>
    <row r="2" spans="1:11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12</v>
      </c>
    </row>
    <row r="3" spans="1:11" x14ac:dyDescent="0.3">
      <c r="A3" s="1">
        <v>5</v>
      </c>
      <c r="B3">
        <v>4.97</v>
      </c>
      <c r="C3">
        <f>B3-A$3</f>
        <v>-3.0000000000000249E-2</v>
      </c>
      <c r="D3" s="1" cm="1">
        <f t="array" ref="D3">AVERAGE(ABS(C3:C32))</f>
        <v>6.3333333333333339E-2</v>
      </c>
      <c r="E3" s="1">
        <f>_xlfn.STDEV.S(C3:C32)</f>
        <v>1.8067561584486042E-2</v>
      </c>
      <c r="F3" s="1">
        <f>AVERAGE(B3:B32)</f>
        <v>4.9366666666666656</v>
      </c>
      <c r="G3">
        <f>(C3/5)*100</f>
        <v>-0.60000000000000497</v>
      </c>
      <c r="H3" s="1" cm="1">
        <f t="array" ref="H3">AVERAGE(ABS(G3:G32))</f>
        <v>1.2666666666666668</v>
      </c>
      <c r="I3" s="1">
        <f>_xlfn.STDEV.S(G3:G32)</f>
        <v>0.36135123168972039</v>
      </c>
      <c r="J3" s="1">
        <f>AVERAGE(G3:G32)</f>
        <v>-1.2666666666666668</v>
      </c>
      <c r="K3" s="1" cm="1">
        <f t="array" ref="K3">SUM(G3:G32^2)/COUNT(G3:G32)</f>
        <v>1.730666666666667</v>
      </c>
    </row>
    <row r="4" spans="1:11" x14ac:dyDescent="0.3">
      <c r="A4" s="1"/>
      <c r="B4">
        <v>4.96</v>
      </c>
      <c r="C4">
        <f>B4-A$3</f>
        <v>-4.0000000000000036E-2</v>
      </c>
      <c r="D4" s="1"/>
      <c r="E4" s="1"/>
      <c r="F4" s="1"/>
      <c r="G4">
        <f t="shared" ref="G4:G32" si="0">(C4/5)*100</f>
        <v>-0.80000000000000071</v>
      </c>
      <c r="H4" s="1"/>
      <c r="I4" s="1"/>
      <c r="J4" s="1"/>
      <c r="K4" s="1"/>
    </row>
    <row r="5" spans="1:11" x14ac:dyDescent="0.3">
      <c r="A5" s="1"/>
      <c r="B5">
        <v>4.9400000000000004</v>
      </c>
      <c r="C5">
        <f t="shared" ref="C5:C32" si="1">B5-A$3</f>
        <v>-5.9999999999999609E-2</v>
      </c>
      <c r="D5" s="1"/>
      <c r="E5" s="1"/>
      <c r="F5" s="1"/>
      <c r="G5">
        <f t="shared" si="0"/>
        <v>-1.1999999999999922</v>
      </c>
      <c r="H5" s="1"/>
      <c r="I5" s="1"/>
      <c r="J5" s="1"/>
      <c r="K5" s="1"/>
    </row>
    <row r="6" spans="1:11" x14ac:dyDescent="0.3">
      <c r="A6" s="1"/>
      <c r="B6">
        <v>4.93</v>
      </c>
      <c r="C6">
        <f t="shared" si="1"/>
        <v>-7.0000000000000284E-2</v>
      </c>
      <c r="D6" s="1"/>
      <c r="E6" s="1"/>
      <c r="F6" s="1"/>
      <c r="G6">
        <f t="shared" si="0"/>
        <v>-1.4000000000000057</v>
      </c>
      <c r="H6" s="1"/>
      <c r="I6" s="1"/>
      <c r="J6" s="1"/>
      <c r="K6" s="1"/>
    </row>
    <row r="7" spans="1:11" x14ac:dyDescent="0.3">
      <c r="A7" s="1"/>
      <c r="B7">
        <v>4.92</v>
      </c>
      <c r="C7">
        <f t="shared" si="1"/>
        <v>-8.0000000000000071E-2</v>
      </c>
      <c r="D7" s="1"/>
      <c r="E7" s="1"/>
      <c r="F7" s="1"/>
      <c r="G7">
        <f t="shared" si="0"/>
        <v>-1.6000000000000014</v>
      </c>
      <c r="H7" s="1"/>
      <c r="I7" s="1"/>
      <c r="J7" s="1"/>
      <c r="K7" s="1"/>
    </row>
    <row r="8" spans="1:11" x14ac:dyDescent="0.3">
      <c r="A8" s="1"/>
      <c r="B8">
        <v>4.96</v>
      </c>
      <c r="C8">
        <f t="shared" si="1"/>
        <v>-4.0000000000000036E-2</v>
      </c>
      <c r="D8" s="1"/>
      <c r="E8" s="1"/>
      <c r="F8" s="1"/>
      <c r="G8">
        <f t="shared" si="0"/>
        <v>-0.80000000000000071</v>
      </c>
      <c r="H8" s="1"/>
      <c r="I8" s="1"/>
      <c r="J8" s="1"/>
      <c r="K8" s="1"/>
    </row>
    <row r="9" spans="1:11" x14ac:dyDescent="0.3">
      <c r="A9" s="1"/>
      <c r="B9">
        <v>4.93</v>
      </c>
      <c r="C9">
        <f t="shared" si="1"/>
        <v>-7.0000000000000284E-2</v>
      </c>
      <c r="D9" s="1"/>
      <c r="E9" s="1"/>
      <c r="F9" s="1"/>
      <c r="G9">
        <f t="shared" si="0"/>
        <v>-1.4000000000000057</v>
      </c>
      <c r="H9" s="1"/>
      <c r="I9" s="1"/>
      <c r="J9" s="1"/>
      <c r="K9" s="1"/>
    </row>
    <row r="10" spans="1:11" x14ac:dyDescent="0.3">
      <c r="A10" s="1"/>
      <c r="B10">
        <v>4.93</v>
      </c>
      <c r="C10">
        <f t="shared" si="1"/>
        <v>-7.0000000000000284E-2</v>
      </c>
      <c r="D10" s="1"/>
      <c r="E10" s="1"/>
      <c r="F10" s="1"/>
      <c r="G10">
        <f t="shared" si="0"/>
        <v>-1.4000000000000057</v>
      </c>
      <c r="H10" s="1"/>
      <c r="I10" s="1"/>
      <c r="J10" s="1"/>
      <c r="K10" s="1"/>
    </row>
    <row r="11" spans="1:11" x14ac:dyDescent="0.3">
      <c r="A11" s="1"/>
      <c r="B11">
        <v>4.93</v>
      </c>
      <c r="C11">
        <f t="shared" si="1"/>
        <v>-7.0000000000000284E-2</v>
      </c>
      <c r="D11" s="1"/>
      <c r="E11" s="1"/>
      <c r="F11" s="1"/>
      <c r="G11">
        <f t="shared" si="0"/>
        <v>-1.4000000000000057</v>
      </c>
      <c r="H11" s="1"/>
      <c r="I11" s="1"/>
      <c r="J11" s="1"/>
      <c r="K11" s="1"/>
    </row>
    <row r="12" spans="1:11" x14ac:dyDescent="0.3">
      <c r="A12" s="1"/>
      <c r="B12">
        <v>4.92</v>
      </c>
      <c r="C12">
        <f t="shared" si="1"/>
        <v>-8.0000000000000071E-2</v>
      </c>
      <c r="D12" s="1"/>
      <c r="E12" s="1"/>
      <c r="F12" s="1"/>
      <c r="G12">
        <f t="shared" si="0"/>
        <v>-1.6000000000000014</v>
      </c>
      <c r="H12" s="1"/>
      <c r="I12" s="1"/>
      <c r="J12" s="1"/>
      <c r="K12" s="1"/>
    </row>
    <row r="13" spans="1:11" x14ac:dyDescent="0.3">
      <c r="A13" s="1"/>
      <c r="B13">
        <v>4.9400000000000004</v>
      </c>
      <c r="C13">
        <f t="shared" si="1"/>
        <v>-5.9999999999999609E-2</v>
      </c>
      <c r="D13" s="1"/>
      <c r="E13" s="1"/>
      <c r="F13" s="1"/>
      <c r="G13">
        <f t="shared" si="0"/>
        <v>-1.1999999999999922</v>
      </c>
      <c r="H13" s="1"/>
      <c r="I13" s="1"/>
      <c r="J13" s="1"/>
      <c r="K13" s="1"/>
    </row>
    <row r="14" spans="1:11" x14ac:dyDescent="0.3">
      <c r="A14" s="1"/>
      <c r="B14">
        <v>4.93</v>
      </c>
      <c r="C14">
        <f t="shared" si="1"/>
        <v>-7.0000000000000284E-2</v>
      </c>
      <c r="D14" s="1"/>
      <c r="E14" s="1"/>
      <c r="F14" s="1"/>
      <c r="G14">
        <f t="shared" si="0"/>
        <v>-1.4000000000000057</v>
      </c>
      <c r="H14" s="1"/>
      <c r="I14" s="1"/>
      <c r="J14" s="1"/>
      <c r="K14" s="1"/>
    </row>
    <row r="15" spans="1:11" x14ac:dyDescent="0.3">
      <c r="A15" s="1"/>
      <c r="B15">
        <v>4.95</v>
      </c>
      <c r="C15">
        <f t="shared" si="1"/>
        <v>-4.9999999999999822E-2</v>
      </c>
      <c r="D15" s="1"/>
      <c r="E15" s="1"/>
      <c r="F15" s="1"/>
      <c r="G15">
        <f t="shared" si="0"/>
        <v>-0.99999999999999634</v>
      </c>
      <c r="H15" s="1"/>
      <c r="I15" s="1"/>
      <c r="J15" s="1"/>
      <c r="K15" s="1"/>
    </row>
    <row r="16" spans="1:11" x14ac:dyDescent="0.3">
      <c r="A16" s="1"/>
      <c r="B16">
        <v>4.95</v>
      </c>
      <c r="C16">
        <f t="shared" si="1"/>
        <v>-4.9999999999999822E-2</v>
      </c>
      <c r="D16" s="1"/>
      <c r="E16" s="1"/>
      <c r="F16" s="1"/>
      <c r="G16">
        <f t="shared" si="0"/>
        <v>-0.99999999999999634</v>
      </c>
      <c r="H16" s="1"/>
      <c r="I16" s="1"/>
      <c r="J16" s="1"/>
      <c r="K16" s="1"/>
    </row>
    <row r="17" spans="1:11" x14ac:dyDescent="0.3">
      <c r="A17" s="1"/>
      <c r="B17">
        <v>4.96</v>
      </c>
      <c r="C17">
        <f t="shared" si="1"/>
        <v>-4.0000000000000036E-2</v>
      </c>
      <c r="D17" s="1"/>
      <c r="E17" s="1"/>
      <c r="F17" s="1"/>
      <c r="G17">
        <f t="shared" si="0"/>
        <v>-0.80000000000000071</v>
      </c>
      <c r="H17" s="1"/>
      <c r="I17" s="1"/>
      <c r="J17" s="1"/>
      <c r="K17" s="1"/>
    </row>
    <row r="18" spans="1:11" x14ac:dyDescent="0.3">
      <c r="A18" s="1"/>
      <c r="B18">
        <v>4.91</v>
      </c>
      <c r="C18">
        <f t="shared" si="1"/>
        <v>-8.9999999999999858E-2</v>
      </c>
      <c r="D18" s="1"/>
      <c r="E18" s="1"/>
      <c r="F18" s="1"/>
      <c r="G18">
        <f t="shared" si="0"/>
        <v>-1.7999999999999972</v>
      </c>
      <c r="H18" s="1"/>
      <c r="I18" s="1"/>
      <c r="J18" s="1"/>
      <c r="K18" s="1"/>
    </row>
    <row r="19" spans="1:11" x14ac:dyDescent="0.3">
      <c r="A19" s="1"/>
      <c r="B19">
        <v>4.96</v>
      </c>
      <c r="C19">
        <f t="shared" si="1"/>
        <v>-4.0000000000000036E-2</v>
      </c>
      <c r="D19" s="1"/>
      <c r="E19" s="1"/>
      <c r="F19" s="1"/>
      <c r="G19">
        <f t="shared" si="0"/>
        <v>-0.80000000000000071</v>
      </c>
      <c r="H19" s="1"/>
      <c r="I19" s="1"/>
      <c r="J19" s="1"/>
      <c r="K19" s="1"/>
    </row>
    <row r="20" spans="1:11" x14ac:dyDescent="0.3">
      <c r="A20" s="1"/>
      <c r="B20">
        <v>4.93</v>
      </c>
      <c r="C20">
        <f t="shared" si="1"/>
        <v>-7.0000000000000284E-2</v>
      </c>
      <c r="D20" s="1"/>
      <c r="E20" s="1"/>
      <c r="F20" s="1"/>
      <c r="G20">
        <f t="shared" si="0"/>
        <v>-1.4000000000000057</v>
      </c>
      <c r="H20" s="1"/>
      <c r="I20" s="1"/>
      <c r="J20" s="1"/>
      <c r="K20" s="1"/>
    </row>
    <row r="21" spans="1:11" x14ac:dyDescent="0.3">
      <c r="A21" s="1"/>
      <c r="B21">
        <v>4.93</v>
      </c>
      <c r="C21">
        <f t="shared" si="1"/>
        <v>-7.0000000000000284E-2</v>
      </c>
      <c r="D21" s="1"/>
      <c r="E21" s="1"/>
      <c r="F21" s="1"/>
      <c r="G21">
        <f t="shared" si="0"/>
        <v>-1.4000000000000057</v>
      </c>
      <c r="H21" s="1"/>
      <c r="I21" s="1"/>
      <c r="J21" s="1"/>
      <c r="K21" s="1"/>
    </row>
    <row r="22" spans="1:11" x14ac:dyDescent="0.3">
      <c r="A22" s="1"/>
      <c r="B22">
        <v>4.96</v>
      </c>
      <c r="C22">
        <f t="shared" si="1"/>
        <v>-4.0000000000000036E-2</v>
      </c>
      <c r="D22" s="1"/>
      <c r="E22" s="1"/>
      <c r="F22" s="1"/>
      <c r="G22">
        <f t="shared" si="0"/>
        <v>-0.80000000000000071</v>
      </c>
      <c r="H22" s="1"/>
      <c r="I22" s="1"/>
      <c r="J22" s="1"/>
      <c r="K22" s="1"/>
    </row>
    <row r="23" spans="1:11" x14ac:dyDescent="0.3">
      <c r="A23" s="1"/>
      <c r="B23">
        <v>4.93</v>
      </c>
      <c r="C23">
        <f t="shared" si="1"/>
        <v>-7.0000000000000284E-2</v>
      </c>
      <c r="D23" s="1"/>
      <c r="E23" s="1"/>
      <c r="F23" s="1"/>
      <c r="G23">
        <f t="shared" si="0"/>
        <v>-1.4000000000000057</v>
      </c>
      <c r="H23" s="1"/>
      <c r="I23" s="1"/>
      <c r="J23" s="1"/>
      <c r="K23" s="1"/>
    </row>
    <row r="24" spans="1:11" x14ac:dyDescent="0.3">
      <c r="A24" s="1"/>
      <c r="B24">
        <v>4.96</v>
      </c>
      <c r="C24">
        <f t="shared" si="1"/>
        <v>-4.0000000000000036E-2</v>
      </c>
      <c r="D24" s="1"/>
      <c r="E24" s="1"/>
      <c r="F24" s="1"/>
      <c r="G24">
        <f t="shared" si="0"/>
        <v>-0.80000000000000071</v>
      </c>
      <c r="H24" s="1"/>
      <c r="I24" s="1"/>
      <c r="J24" s="1"/>
      <c r="K24" s="1"/>
    </row>
    <row r="25" spans="1:11" x14ac:dyDescent="0.3">
      <c r="A25" s="1"/>
      <c r="B25">
        <v>4.9400000000000004</v>
      </c>
      <c r="C25">
        <f t="shared" si="1"/>
        <v>-5.9999999999999609E-2</v>
      </c>
      <c r="D25" s="1"/>
      <c r="E25" s="1"/>
      <c r="F25" s="1"/>
      <c r="G25">
        <f t="shared" si="0"/>
        <v>-1.1999999999999922</v>
      </c>
      <c r="H25" s="1"/>
      <c r="I25" s="1"/>
      <c r="J25" s="1"/>
      <c r="K25" s="1"/>
    </row>
    <row r="26" spans="1:11" x14ac:dyDescent="0.3">
      <c r="A26" s="1"/>
      <c r="B26">
        <v>4.92</v>
      </c>
      <c r="C26">
        <f t="shared" si="1"/>
        <v>-8.0000000000000071E-2</v>
      </c>
      <c r="D26" s="1"/>
      <c r="E26" s="1"/>
      <c r="F26" s="1"/>
      <c r="G26">
        <f t="shared" si="0"/>
        <v>-1.6000000000000014</v>
      </c>
      <c r="H26" s="1"/>
      <c r="I26" s="1"/>
      <c r="J26" s="1"/>
      <c r="K26" s="1"/>
    </row>
    <row r="27" spans="1:11" x14ac:dyDescent="0.3">
      <c r="A27" s="1"/>
      <c r="B27">
        <v>4.95</v>
      </c>
      <c r="C27">
        <f t="shared" si="1"/>
        <v>-4.9999999999999822E-2</v>
      </c>
      <c r="D27" s="1"/>
      <c r="E27" s="1"/>
      <c r="F27" s="1"/>
      <c r="G27">
        <f t="shared" si="0"/>
        <v>-0.99999999999999634</v>
      </c>
      <c r="H27" s="1"/>
      <c r="I27" s="1"/>
      <c r="J27" s="1"/>
      <c r="K27" s="1"/>
    </row>
    <row r="28" spans="1:11" x14ac:dyDescent="0.3">
      <c r="A28" s="1"/>
      <c r="B28">
        <v>4.92</v>
      </c>
      <c r="C28">
        <f t="shared" si="1"/>
        <v>-8.0000000000000071E-2</v>
      </c>
      <c r="D28" s="1"/>
      <c r="E28" s="1"/>
      <c r="F28" s="1"/>
      <c r="G28">
        <f t="shared" si="0"/>
        <v>-1.6000000000000014</v>
      </c>
      <c r="H28" s="1"/>
      <c r="I28" s="1"/>
      <c r="J28" s="1"/>
      <c r="K28" s="1"/>
    </row>
    <row r="29" spans="1:11" x14ac:dyDescent="0.3">
      <c r="A29" s="1"/>
      <c r="B29">
        <v>4.9400000000000004</v>
      </c>
      <c r="C29">
        <f t="shared" si="1"/>
        <v>-5.9999999999999609E-2</v>
      </c>
      <c r="D29" s="1"/>
      <c r="E29" s="1"/>
      <c r="F29" s="1"/>
      <c r="G29">
        <f t="shared" si="0"/>
        <v>-1.1999999999999922</v>
      </c>
      <c r="H29" s="1"/>
      <c r="I29" s="1"/>
      <c r="J29" s="1"/>
      <c r="K29" s="1"/>
    </row>
    <row r="30" spans="1:11" x14ac:dyDescent="0.3">
      <c r="A30" s="1"/>
      <c r="B30">
        <v>4.92</v>
      </c>
      <c r="C30">
        <f t="shared" si="1"/>
        <v>-8.0000000000000071E-2</v>
      </c>
      <c r="D30" s="1"/>
      <c r="E30" s="1"/>
      <c r="F30" s="1"/>
      <c r="G30">
        <f t="shared" si="0"/>
        <v>-1.6000000000000014</v>
      </c>
      <c r="H30" s="1"/>
      <c r="I30" s="1"/>
      <c r="J30" s="1"/>
      <c r="K30" s="1"/>
    </row>
    <row r="31" spans="1:11" x14ac:dyDescent="0.3">
      <c r="A31" s="1"/>
      <c r="B31">
        <v>4.9000000000000004</v>
      </c>
      <c r="C31">
        <f t="shared" si="1"/>
        <v>-9.9999999999999645E-2</v>
      </c>
      <c r="D31" s="1"/>
      <c r="E31" s="1"/>
      <c r="F31" s="1"/>
      <c r="G31">
        <f t="shared" si="0"/>
        <v>-1.9999999999999927</v>
      </c>
      <c r="H31" s="1"/>
      <c r="I31" s="1"/>
      <c r="J31" s="1"/>
      <c r="K31" s="1"/>
    </row>
    <row r="32" spans="1:11" x14ac:dyDescent="0.3">
      <c r="A32" s="1"/>
      <c r="B32">
        <v>4.91</v>
      </c>
      <c r="C32">
        <f t="shared" si="1"/>
        <v>-8.9999999999999858E-2</v>
      </c>
      <c r="D32" s="1"/>
      <c r="E32" s="1"/>
      <c r="F32" s="1"/>
      <c r="G32">
        <f t="shared" si="0"/>
        <v>-1.7999999999999972</v>
      </c>
      <c r="H32" s="1"/>
      <c r="I32" s="1"/>
      <c r="J32" s="1"/>
      <c r="K32" s="1"/>
    </row>
  </sheetData>
  <mergeCells count="8">
    <mergeCell ref="J3:J32"/>
    <mergeCell ref="K3:K32"/>
    <mergeCell ref="A3:A32"/>
    <mergeCell ref="D3:D32"/>
    <mergeCell ref="E3:E32"/>
    <mergeCell ref="F3:F32"/>
    <mergeCell ref="H3:H32"/>
    <mergeCell ref="I3:I3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367603989772468DDC748A5503702D" ma:contentTypeVersion="15" ma:contentTypeDescription="Create a new document." ma:contentTypeScope="" ma:versionID="e17c374ed32320dba241e0dc3357ee46">
  <xsd:schema xmlns:xsd="http://www.w3.org/2001/XMLSchema" xmlns:xs="http://www.w3.org/2001/XMLSchema" xmlns:p="http://schemas.microsoft.com/office/2006/metadata/properties" xmlns:ns3="207a0008-ac78-4fed-86f3-d2220ae0523e" xmlns:ns4="f9ed64d2-083a-4421-8a2b-475c2bcc7573" targetNamespace="http://schemas.microsoft.com/office/2006/metadata/properties" ma:root="true" ma:fieldsID="470886432a0dc79caf6137bdc945a8e1" ns3:_="" ns4:_="">
    <xsd:import namespace="207a0008-ac78-4fed-86f3-d2220ae0523e"/>
    <xsd:import namespace="f9ed64d2-083a-4421-8a2b-475c2bcc757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SearchPropertie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7a0008-ac78-4fed-86f3-d2220ae0523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ed64d2-083a-4421-8a2b-475c2bcc75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9ed64d2-083a-4421-8a2b-475c2bcc757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3C668E-F84A-43EE-8518-79F045D2FC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7a0008-ac78-4fed-86f3-d2220ae0523e"/>
    <ds:schemaRef ds:uri="f9ed64d2-083a-4421-8a2b-475c2bcc75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1CFFF7-86F8-4AA3-A165-6F3F86BCF661}">
  <ds:schemaRefs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f9ed64d2-083a-4421-8a2b-475c2bcc7573"/>
    <ds:schemaRef ds:uri="207a0008-ac78-4fed-86f3-d2220ae0523e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7CE7600-23A9-4935-B070-0DB804F7B5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MPC+DT</vt:lpstr>
      <vt:lpstr>FPTP+DT</vt:lpstr>
      <vt:lpstr>FPTP-DT</vt:lpstr>
      <vt:lpstr>MPC-DT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 Ali Ibrahim Fouda 2101592</dc:creator>
  <cp:lastModifiedBy>Nabil Ali Ibrahim Fouda 2101592</cp:lastModifiedBy>
  <dcterms:created xsi:type="dcterms:W3CDTF">2026-03-17T11:11:14Z</dcterms:created>
  <dcterms:modified xsi:type="dcterms:W3CDTF">2026-09-12T13:15:06Z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0x0101003B367603989772468DDC748A5503702D</vt:lpwstr>
  </property>
</Properties>
</file>